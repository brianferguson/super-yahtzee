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SuperYahtzeeWorkbook" defaultThemeVersion="153222"/>
  <mc:AlternateContent xmlns:mc="http://schemas.openxmlformats.org/markup-compatibility/2006">
    <mc:Choice Requires="x15">
      <x15ac:absPath xmlns:x15ac="http://schemas.microsoft.com/office/spreadsheetml/2010/11/ac" url="C:\Users\Brian\Desktop\Yahtzee\Original\New\Public\"/>
    </mc:Choice>
  </mc:AlternateContent>
  <bookViews>
    <workbookView xWindow="0" yWindow="0" windowWidth="28800" windowHeight="12435"/>
  </bookViews>
  <sheets>
    <sheet name="SuperYahtzee" sheetId="1" r:id="rId1"/>
  </sheets>
  <definedNames>
    <definedName name="Lower_Section">SuperYahtzee!$E$18:$V$28</definedName>
    <definedName name="_xlnm.Print_Area" localSheetId="0">SuperYahtzee!$A$1:$W$34</definedName>
    <definedName name="Upper_Section">SuperYahtzee!$E$8:$V$13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4" i="1" l="1"/>
  <c r="T29" i="1" l="1"/>
  <c r="Q29" i="1"/>
  <c r="N29" i="1"/>
  <c r="K29" i="1"/>
  <c r="H29" i="1"/>
  <c r="E29" i="1"/>
  <c r="T14" i="1"/>
  <c r="T15" i="1" s="1"/>
  <c r="Q14" i="1"/>
  <c r="Q15" i="1" s="1"/>
  <c r="N14" i="1"/>
  <c r="K14" i="1"/>
  <c r="H14" i="1"/>
  <c r="H15" i="1" s="1"/>
  <c r="E14" i="1"/>
  <c r="E15" i="1" s="1"/>
  <c r="K15" i="1" l="1"/>
  <c r="K16" i="1" s="1"/>
  <c r="K30" i="1" s="1"/>
  <c r="K31" i="1" s="1"/>
  <c r="Q16" i="1"/>
  <c r="Q30" i="1" s="1"/>
  <c r="Q31" i="1" s="1"/>
  <c r="N15" i="1"/>
  <c r="N16" i="1" s="1"/>
  <c r="N30" i="1" s="1"/>
  <c r="N31" i="1" s="1"/>
  <c r="H16" i="1"/>
  <c r="H30" i="1" s="1"/>
  <c r="H31" i="1" s="1"/>
  <c r="T16" i="1"/>
  <c r="T30" i="1" s="1"/>
  <c r="T31" i="1" s="1"/>
  <c r="E16" i="1"/>
  <c r="E30" i="1" s="1"/>
  <c r="E31" i="1" s="1"/>
</calcChain>
</file>

<file path=xl/sharedStrings.xml><?xml version="1.0" encoding="utf-8"?>
<sst xmlns="http://schemas.openxmlformats.org/spreadsheetml/2006/main" count="49" uniqueCount="47">
  <si>
    <t>NAME</t>
  </si>
  <si>
    <t>UPPER SECTION</t>
  </si>
  <si>
    <t>Twos</t>
  </si>
  <si>
    <t>Threes</t>
  </si>
  <si>
    <t>Fours</t>
  </si>
  <si>
    <t>Fives</t>
  </si>
  <si>
    <t>Sixes</t>
  </si>
  <si>
    <t>TOTAL SCORE</t>
  </si>
  <si>
    <t>TOTAL</t>
  </si>
  <si>
    <t>BONUS</t>
  </si>
  <si>
    <t>LOWER SECTION</t>
  </si>
  <si>
    <t>4 of a kind</t>
  </si>
  <si>
    <t>5 of a kind</t>
  </si>
  <si>
    <t>Full House</t>
  </si>
  <si>
    <t>3 Pair</t>
  </si>
  <si>
    <t>Sm. Straight</t>
  </si>
  <si>
    <t>Lg. Straight</t>
  </si>
  <si>
    <t>Chance</t>
  </si>
  <si>
    <t>GRAND TOTAL</t>
  </si>
  <si>
    <t>YAHTZEE
BONUS</t>
  </si>
  <si>
    <t>YAHTZEE</t>
  </si>
  <si>
    <t>=  1</t>
  </si>
  <si>
    <t>=  2</t>
  </si>
  <si>
    <t>=  3</t>
  </si>
  <si>
    <t>=  4</t>
  </si>
  <si>
    <t>=  5</t>
  </si>
  <si>
    <t>=  6</t>
  </si>
  <si>
    <t xml:space="preserve">Aces  </t>
  </si>
  <si>
    <t>Directions:</t>
  </si>
  <si>
    <t>Super Yahtzee is just like regular Yahtzee with an extra die (for a total of 6) and an extra roll of the dice on your turn (for a total of 4). Also, there are a few extra items in the lower section.</t>
  </si>
  <si>
    <t>Note: "3 Pair" needs to be 3 distinct pairs.</t>
  </si>
  <si>
    <t>Notes:</t>
  </si>
  <si>
    <t>If more than 3 extra Yahtzee's are rolled, manually add 100.</t>
  </si>
  <si>
    <r>
      <t xml:space="preserve">SCORE </t>
    </r>
    <r>
      <rPr>
        <b/>
        <sz val="14"/>
        <color theme="1"/>
        <rFont val="Calibri"/>
        <family val="2"/>
        <scheme val="minor"/>
      </rPr>
      <t>45</t>
    </r>
  </si>
  <si>
    <r>
      <t xml:space="preserve">SCORE </t>
    </r>
    <r>
      <rPr>
        <b/>
        <sz val="14"/>
        <color theme="1"/>
        <rFont val="Calibri"/>
        <family val="2"/>
        <scheme val="minor"/>
      </rPr>
      <t>25</t>
    </r>
  </si>
  <si>
    <r>
      <t xml:space="preserve">SCORE </t>
    </r>
    <r>
      <rPr>
        <b/>
        <sz val="14"/>
        <color theme="1"/>
        <rFont val="Calibri"/>
        <family val="2"/>
        <scheme val="minor"/>
      </rPr>
      <t>35</t>
    </r>
  </si>
  <si>
    <r>
      <t xml:space="preserve">SCORE </t>
    </r>
    <r>
      <rPr>
        <b/>
        <sz val="14"/>
        <color theme="1"/>
        <rFont val="Calibri"/>
        <family val="2"/>
        <scheme val="minor"/>
      </rPr>
      <t>30</t>
    </r>
  </si>
  <si>
    <r>
      <t xml:space="preserve">SCORE </t>
    </r>
    <r>
      <rPr>
        <b/>
        <sz val="14"/>
        <color theme="1"/>
        <rFont val="Calibri"/>
        <family val="2"/>
        <scheme val="minor"/>
      </rPr>
      <t>40</t>
    </r>
  </si>
  <si>
    <r>
      <t xml:space="preserve">SCORE </t>
    </r>
    <r>
      <rPr>
        <b/>
        <sz val="14"/>
        <color theme="1"/>
        <rFont val="Calibri"/>
        <family val="2"/>
        <scheme val="minor"/>
      </rPr>
      <t>50</t>
    </r>
  </si>
  <si>
    <r>
      <t xml:space="preserve">SCORE </t>
    </r>
    <r>
      <rPr>
        <b/>
        <sz val="14"/>
        <color theme="1"/>
        <rFont val="Calibri"/>
        <family val="2"/>
        <scheme val="minor"/>
      </rPr>
      <t>75</t>
    </r>
  </si>
  <si>
    <t>© 1982, 1990, 1996 Milton Bradley Company. All Rights Reserved.</t>
  </si>
  <si>
    <t>E6100</t>
  </si>
  <si>
    <r>
      <t xml:space="preserve">Double click for a </t>
    </r>
    <r>
      <rPr>
        <b/>
        <sz val="11"/>
        <color theme="1"/>
        <rFont val="Calibri"/>
        <family val="2"/>
        <scheme val="minor"/>
      </rPr>
      <t>✓</t>
    </r>
  </si>
  <si>
    <t>List for valid values for Upper Section (per row):</t>
  </si>
  <si>
    <t>CC BY-NC-SA 4.0</t>
  </si>
  <si>
    <t>v1.0</t>
  </si>
  <si>
    <t>Enter a "0" for any valid box to "scratch" that item. The "0" will be replaced with a dash.
The "Clear Scorecard" button just clears the Upper Section and Lower Section. These areas are defined in the "Name Manager".
The print area is defined for the scorecard for easy printing. No scaling is required, and narrow margins of 0.25 is recommended.</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</si>
</sst>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b/>
      <sz val="9"/>
      <color theme="1"/>
      <name val="Calibri"/>
      <family val="2"/>
      <scheme val="minor"/>
    </font>
    <font>
      <b/>
      <sz val="12"/>
      <color theme="1"/>
      <name val="Calibri"/>
      <family val="2"/>
      <scheme val="minor"/>
    </font>
    <font>
      <sz val="8"/>
      <color theme="1"/>
      <name val="Calibri"/>
      <family val="2"/>
      <scheme val="minor"/>
    </font>
    <font>
      <b/>
      <sz val="8"/>
      <color theme="1"/>
      <name val="Calibri"/>
      <family val="2"/>
      <scheme val="minor"/>
    </font>
    <font>
      <b/>
      <sz val="16"/>
      <color theme="1"/>
      <name val="Calibri"/>
      <family val="2"/>
      <scheme val="minor"/>
    </font>
    <font>
      <b/>
      <sz val="10"/>
      <color theme="1"/>
      <name val="Calibri"/>
      <family val="2"/>
      <scheme val="minor"/>
    </font>
    <font>
      <b/>
      <sz val="18"/>
      <color theme="1"/>
      <name val="Calibri"/>
      <family val="2"/>
      <scheme val="minor"/>
    </font>
    <font>
      <b/>
      <sz val="20"/>
      <color theme="1"/>
      <name val="Courier New"/>
      <family val="3"/>
    </font>
    <font>
      <b/>
      <sz val="11"/>
      <color theme="1"/>
      <name val="Courier New"/>
      <family val="3"/>
    </font>
    <font>
      <u/>
      <sz val="11"/>
      <color theme="10"/>
      <name val="Calibri"/>
      <family val="2"/>
      <scheme val="minor"/>
    </font>
    <font>
      <b/>
      <sz val="14"/>
      <color theme="1"/>
      <name val="Calibri"/>
      <family val="2"/>
      <scheme val="minor"/>
    </font>
    <font>
      <b/>
      <sz val="13"/>
      <color theme="1"/>
      <name val="Calibri"/>
      <family val="2"/>
      <scheme val="minor"/>
    </font>
    <font>
      <sz val="11"/>
      <color theme="1"/>
      <name val="Calibri"/>
      <family val="2"/>
    </font>
    <font>
      <sz val="11"/>
      <color rgb="FF000000"/>
      <name val="Calibri"/>
      <family val="2"/>
    </font>
  </fonts>
  <fills count="2">
    <fill>
      <patternFill patternType="none"/>
    </fill>
    <fill>
      <patternFill patternType="gray125"/>
    </fill>
  </fills>
  <borders count="14">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1" fillId="0" borderId="0" applyNumberFormat="0" applyFill="0" applyBorder="0" applyAlignment="0" applyProtection="0"/>
  </cellStyleXfs>
  <cellXfs count="93">
    <xf numFmtId="0" fontId="0" fillId="0" borderId="0" xfId="0"/>
    <xf numFmtId="49" fontId="0" fillId="0" borderId="0" xfId="0" applyNumberFormat="1" applyFont="1" applyAlignment="1" applyProtection="1"/>
    <xf numFmtId="49" fontId="1" fillId="0" borderId="0" xfId="0" applyNumberFormat="1" applyFont="1" applyAlignment="1" applyProtection="1"/>
    <xf numFmtId="49" fontId="5" fillId="0" borderId="0" xfId="0" applyNumberFormat="1" applyFont="1" applyAlignment="1" applyProtection="1">
      <alignment horizontal="center" vertical="center"/>
    </xf>
    <xf numFmtId="49" fontId="0" fillId="0" borderId="0" xfId="0" applyNumberFormat="1" applyFont="1" applyBorder="1" applyAlignment="1" applyProtection="1">
      <alignment horizontal="right" vertical="top" indent="1"/>
    </xf>
    <xf numFmtId="0" fontId="0" fillId="0" borderId="0" xfId="0" applyFont="1" applyAlignment="1" applyProtection="1"/>
    <xf numFmtId="0" fontId="0" fillId="0" borderId="0" xfId="0" applyFont="1" applyProtection="1"/>
    <xf numFmtId="49" fontId="1" fillId="0" borderId="0" xfId="0" applyNumberFormat="1" applyFont="1" applyAlignment="1" applyProtection="1">
      <alignment horizontal="center" vertical="center"/>
    </xf>
    <xf numFmtId="49" fontId="0" fillId="0" borderId="4" xfId="0" applyNumberFormat="1" applyFont="1" applyBorder="1" applyAlignment="1" applyProtection="1"/>
    <xf numFmtId="49" fontId="1" fillId="0" borderId="5" xfId="0" applyNumberFormat="1" applyFont="1" applyBorder="1" applyAlignment="1" applyProtection="1"/>
    <xf numFmtId="49" fontId="5" fillId="0" borderId="5" xfId="0" applyNumberFormat="1" applyFont="1" applyBorder="1" applyAlignment="1" applyProtection="1">
      <alignment horizontal="center" vertical="center"/>
    </xf>
    <xf numFmtId="49" fontId="1" fillId="0" borderId="5" xfId="0" applyNumberFormat="1" applyFont="1" applyBorder="1" applyAlignment="1" applyProtection="1">
      <alignment horizontal="center" vertical="center"/>
    </xf>
    <xf numFmtId="49" fontId="1" fillId="0" borderId="6" xfId="0" applyNumberFormat="1" applyFont="1" applyBorder="1" applyAlignment="1" applyProtection="1"/>
    <xf numFmtId="49" fontId="0" fillId="0" borderId="7" xfId="0" applyNumberFormat="1" applyFont="1" applyBorder="1" applyAlignment="1" applyProtection="1"/>
    <xf numFmtId="49" fontId="2" fillId="0" borderId="2" xfId="0" applyNumberFormat="1" applyFont="1" applyBorder="1" applyAlignment="1" applyProtection="1">
      <alignment horizontal="center" vertical="center" wrapText="1"/>
    </xf>
    <xf numFmtId="49" fontId="1" fillId="0" borderId="8" xfId="0" applyNumberFormat="1" applyFont="1" applyBorder="1" applyAlignment="1" applyProtection="1"/>
    <xf numFmtId="0" fontId="0" fillId="0" borderId="0" xfId="0" applyFont="1" applyBorder="1" applyProtection="1"/>
    <xf numFmtId="49" fontId="1" fillId="0" borderId="2" xfId="0" applyNumberFormat="1" applyFont="1" applyBorder="1" applyAlignment="1" applyProtection="1">
      <alignment horizontal="center" vertical="center"/>
    </xf>
    <xf numFmtId="1" fontId="0" fillId="0" borderId="0" xfId="0" applyNumberFormat="1" applyFont="1" applyAlignment="1" applyProtection="1"/>
    <xf numFmtId="49" fontId="6" fillId="0" borderId="11" xfId="0" applyNumberFormat="1" applyFont="1" applyBorder="1" applyAlignment="1" applyProtection="1">
      <alignment horizontal="left" vertical="center" indent="1"/>
    </xf>
    <xf numFmtId="49" fontId="2" fillId="0" borderId="12" xfId="0" applyNumberFormat="1" applyFont="1" applyBorder="1" applyAlignment="1" applyProtection="1">
      <alignment horizontal="center" vertical="center" wrapText="1"/>
    </xf>
    <xf numFmtId="49" fontId="5" fillId="0" borderId="12" xfId="0" applyNumberFormat="1" applyFont="1" applyBorder="1" applyAlignment="1" applyProtection="1">
      <alignment horizontal="center" vertical="center"/>
    </xf>
    <xf numFmtId="49" fontId="0" fillId="0" borderId="9" xfId="0" applyNumberFormat="1" applyFont="1" applyBorder="1" applyAlignment="1" applyProtection="1"/>
    <xf numFmtId="49" fontId="1" fillId="0" borderId="1" xfId="0" applyNumberFormat="1" applyFont="1" applyBorder="1" applyAlignment="1" applyProtection="1"/>
    <xf numFmtId="49" fontId="5" fillId="0" borderId="1" xfId="0" applyNumberFormat="1" applyFont="1" applyBorder="1" applyAlignment="1" applyProtection="1">
      <alignment horizontal="center" vertical="center"/>
    </xf>
    <xf numFmtId="49" fontId="1" fillId="0" borderId="1" xfId="0" applyNumberFormat="1" applyFont="1" applyBorder="1" applyAlignment="1" applyProtection="1">
      <alignment horizontal="center" vertical="center"/>
    </xf>
    <xf numFmtId="49" fontId="1" fillId="0" borderId="10" xfId="0" applyNumberFormat="1" applyFont="1" applyBorder="1" applyAlignment="1" applyProtection="1"/>
    <xf numFmtId="0" fontId="1" fillId="0" borderId="0" xfId="0" applyFont="1" applyAlignment="1" applyProtection="1"/>
    <xf numFmtId="0" fontId="1" fillId="0" borderId="0" xfId="0" applyFont="1" applyAlignment="1" applyProtection="1">
      <alignment horizontal="center" vertical="center"/>
    </xf>
    <xf numFmtId="0" fontId="1" fillId="0" borderId="0" xfId="0" applyFont="1" applyProtection="1"/>
    <xf numFmtId="49" fontId="0" fillId="0" borderId="0" xfId="0" applyNumberFormat="1" applyFont="1" applyAlignment="1" applyProtection="1">
      <alignment horizontal="center" vertical="center"/>
    </xf>
    <xf numFmtId="0" fontId="0" fillId="0" borderId="0" xfId="0" applyFont="1" applyAlignment="1" applyProtection="1">
      <alignment horizontal="center" vertical="center"/>
    </xf>
    <xf numFmtId="49" fontId="4" fillId="0" borderId="0" xfId="0" applyNumberFormat="1" applyFont="1" applyAlignment="1" applyProtection="1">
      <alignment horizontal="center" vertical="center"/>
    </xf>
    <xf numFmtId="0" fontId="0" fillId="0" borderId="0" xfId="0" applyFont="1" applyBorder="1" applyAlignment="1" applyProtection="1">
      <protection hidden="1"/>
    </xf>
    <xf numFmtId="0" fontId="0" fillId="0" borderId="0" xfId="0" applyFont="1" applyBorder="1" applyProtection="1">
      <protection hidden="1"/>
    </xf>
    <xf numFmtId="1" fontId="0" fillId="0" borderId="0" xfId="0" applyNumberFormat="1" applyFont="1" applyBorder="1" applyAlignment="1" applyProtection="1">
      <protection hidden="1"/>
    </xf>
    <xf numFmtId="0" fontId="0" fillId="0" borderId="0" xfId="0" applyFont="1" applyFill="1" applyBorder="1" applyProtection="1">
      <protection hidden="1"/>
    </xf>
    <xf numFmtId="0" fontId="0" fillId="0" borderId="0" xfId="0" applyFont="1" applyFill="1" applyBorder="1" applyAlignment="1" applyProtection="1">
      <protection hidden="1"/>
    </xf>
    <xf numFmtId="49" fontId="1" fillId="0" borderId="2" xfId="0" applyNumberFormat="1" applyFont="1" applyBorder="1" applyAlignment="1" applyProtection="1">
      <alignment horizontal="center" vertical="center"/>
      <protection locked="0"/>
    </xf>
    <xf numFmtId="49" fontId="1" fillId="0" borderId="13" xfId="0" applyNumberFormat="1" applyFont="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49" fontId="0" fillId="0" borderId="0" xfId="0" applyNumberFormat="1" applyFont="1" applyAlignment="1" applyProtection="1">
      <alignment horizontal="left" vertical="top" wrapText="1"/>
    </xf>
    <xf numFmtId="0" fontId="1" fillId="0" borderId="0" xfId="0" applyFont="1" applyAlignment="1" applyProtection="1">
      <alignment horizontal="right"/>
    </xf>
    <xf numFmtId="0" fontId="0" fillId="0" borderId="0" xfId="0" applyFont="1" applyAlignment="1" applyProtection="1">
      <alignment horizontal="right" vertical="top"/>
    </xf>
    <xf numFmtId="49" fontId="12" fillId="0" borderId="11" xfId="0" applyNumberFormat="1" applyFont="1" applyBorder="1" applyAlignment="1" applyProtection="1">
      <alignment horizontal="left" vertical="center" indent="1"/>
    </xf>
    <xf numFmtId="49" fontId="8" fillId="0" borderId="11" xfId="0" applyNumberFormat="1" applyFont="1" applyBorder="1" applyAlignment="1" applyProtection="1">
      <alignment horizontal="left" vertical="center" indent="1"/>
    </xf>
    <xf numFmtId="49" fontId="13" fillId="0" borderId="11" xfId="0" applyNumberFormat="1" applyFont="1" applyBorder="1" applyAlignment="1" applyProtection="1">
      <alignment horizontal="left" vertical="center" indent="1"/>
    </xf>
    <xf numFmtId="49" fontId="12" fillId="0" borderId="12" xfId="0" applyNumberFormat="1" applyFont="1" applyBorder="1" applyAlignment="1" applyProtection="1">
      <alignment horizontal="left" vertical="center" indent="1"/>
    </xf>
    <xf numFmtId="49" fontId="3" fillId="0" borderId="2" xfId="0" applyNumberFormat="1" applyFont="1" applyBorder="1" applyAlignment="1" applyProtection="1">
      <alignment horizontal="center" vertical="center"/>
    </xf>
    <xf numFmtId="49" fontId="7" fillId="0" borderId="2" xfId="0" applyNumberFormat="1" applyFont="1" applyBorder="1" applyAlignment="1" applyProtection="1">
      <alignment horizontal="center" vertical="center" wrapText="1"/>
    </xf>
    <xf numFmtId="0" fontId="0" fillId="0" borderId="0" xfId="0" applyFont="1" applyAlignment="1" applyProtection="1"/>
    <xf numFmtId="1" fontId="1" fillId="0" borderId="11" xfId="0" applyNumberFormat="1" applyFont="1" applyBorder="1" applyAlignment="1" applyProtection="1">
      <alignment horizontal="center" vertical="center"/>
      <protection locked="0"/>
    </xf>
    <xf numFmtId="1" fontId="1" fillId="0" borderId="3" xfId="0" applyNumberFormat="1" applyFont="1" applyBorder="1" applyAlignment="1" applyProtection="1">
      <alignment horizontal="center" vertical="center"/>
      <protection locked="0"/>
    </xf>
    <xf numFmtId="1" fontId="1" fillId="0" borderId="12" xfId="0" applyNumberFormat="1" applyFont="1" applyBorder="1" applyAlignment="1" applyProtection="1">
      <alignment horizontal="center" vertical="center"/>
      <protection locked="0"/>
    </xf>
    <xf numFmtId="1" fontId="1" fillId="0" borderId="11" xfId="0" applyNumberFormat="1" applyFont="1" applyBorder="1" applyAlignment="1" applyProtection="1">
      <alignment horizontal="center" vertical="center"/>
    </xf>
    <xf numFmtId="1" fontId="1" fillId="0" borderId="3" xfId="0" applyNumberFormat="1" applyFont="1" applyBorder="1" applyAlignment="1" applyProtection="1">
      <alignment horizontal="center" vertical="center"/>
    </xf>
    <xf numFmtId="1" fontId="1" fillId="0" borderId="12" xfId="0" applyNumberFormat="1" applyFont="1" applyBorder="1" applyAlignment="1" applyProtection="1">
      <alignment horizontal="center" vertical="center"/>
    </xf>
    <xf numFmtId="49" fontId="1" fillId="0" borderId="3" xfId="0" applyNumberFormat="1" applyFont="1" applyBorder="1" applyAlignment="1" applyProtection="1"/>
    <xf numFmtId="49" fontId="1" fillId="0" borderId="0" xfId="0" applyNumberFormat="1" applyFont="1" applyAlignment="1" applyProtection="1"/>
    <xf numFmtId="49" fontId="1" fillId="0" borderId="1" xfId="0" applyNumberFormat="1" applyFont="1" applyBorder="1" applyAlignment="1" applyProtection="1"/>
    <xf numFmtId="49" fontId="9" fillId="0" borderId="0" xfId="0" applyNumberFormat="1" applyFont="1" applyAlignment="1" applyProtection="1">
      <alignment horizontal="left" vertical="center" indent="1"/>
      <protection locked="0"/>
    </xf>
    <xf numFmtId="49" fontId="10" fillId="0" borderId="0" xfId="0" applyNumberFormat="1" applyFont="1" applyAlignment="1" applyProtection="1">
      <alignment horizontal="left" vertical="center" indent="1"/>
      <protection locked="0"/>
    </xf>
    <xf numFmtId="49" fontId="10" fillId="0" borderId="1" xfId="0" applyNumberFormat="1" applyFont="1" applyBorder="1" applyAlignment="1" applyProtection="1">
      <alignment horizontal="left" vertical="center" indent="1"/>
      <protection locked="0"/>
    </xf>
    <xf numFmtId="49" fontId="1" fillId="0" borderId="0" xfId="0" applyNumberFormat="1" applyFont="1" applyAlignment="1" applyProtection="1">
      <alignment horizontal="right" vertical="center"/>
    </xf>
    <xf numFmtId="49" fontId="6" fillId="0" borderId="11" xfId="0" applyNumberFormat="1" applyFont="1" applyBorder="1" applyAlignment="1" applyProtection="1">
      <alignment horizontal="center" vertical="center"/>
    </xf>
    <xf numFmtId="49" fontId="6" fillId="0" borderId="12" xfId="0" applyNumberFormat="1" applyFont="1" applyBorder="1" applyAlignment="1" applyProtection="1">
      <alignment horizontal="center" vertical="center"/>
    </xf>
    <xf numFmtId="49" fontId="6" fillId="0" borderId="3" xfId="0" applyNumberFormat="1" applyFont="1" applyBorder="1" applyAlignment="1" applyProtection="1">
      <alignment horizontal="center" vertical="center"/>
    </xf>
    <xf numFmtId="49" fontId="8" fillId="0" borderId="4" xfId="0" applyNumberFormat="1" applyFont="1" applyBorder="1" applyAlignment="1" applyProtection="1">
      <alignment horizontal="center" vertical="center" wrapText="1"/>
    </xf>
    <xf numFmtId="49" fontId="8" fillId="0" borderId="6" xfId="0" applyNumberFormat="1" applyFont="1" applyBorder="1" applyAlignment="1" applyProtection="1">
      <alignment horizontal="center" vertical="center" wrapText="1"/>
    </xf>
    <xf numFmtId="49" fontId="8" fillId="0" borderId="9" xfId="0" applyNumberFormat="1" applyFont="1" applyBorder="1" applyAlignment="1" applyProtection="1">
      <alignment horizontal="center" vertical="center" wrapText="1"/>
    </xf>
    <xf numFmtId="49" fontId="8" fillId="0" borderId="10" xfId="0" applyNumberFormat="1" applyFont="1" applyBorder="1" applyAlignment="1" applyProtection="1">
      <alignment horizontal="center" vertical="center" wrapText="1"/>
    </xf>
    <xf numFmtId="49" fontId="7" fillId="0" borderId="11" xfId="0" applyNumberFormat="1" applyFont="1" applyBorder="1" applyAlignment="1" applyProtection="1">
      <alignment horizontal="center" vertical="center" wrapText="1"/>
    </xf>
    <xf numFmtId="49" fontId="7" fillId="0" borderId="3" xfId="0" applyNumberFormat="1" applyFont="1" applyBorder="1" applyAlignment="1" applyProtection="1">
      <alignment horizontal="center" vertical="center" wrapText="1"/>
    </xf>
    <xf numFmtId="49" fontId="7" fillId="0" borderId="12" xfId="0" applyNumberFormat="1" applyFont="1" applyBorder="1" applyAlignment="1" applyProtection="1">
      <alignment horizontal="center" vertical="center" wrapText="1"/>
    </xf>
    <xf numFmtId="0" fontId="0" fillId="0" borderId="0" xfId="0" applyFont="1" applyAlignment="1" applyProtection="1">
      <alignment vertical="center"/>
    </xf>
    <xf numFmtId="49" fontId="0" fillId="0" borderId="0" xfId="0" applyNumberFormat="1" applyFont="1" applyAlignment="1" applyProtection="1">
      <alignment horizontal="left" vertical="top" wrapText="1" indent="1"/>
    </xf>
    <xf numFmtId="0" fontId="0" fillId="0" borderId="0" xfId="0" applyFont="1" applyAlignment="1" applyProtection="1">
      <alignment horizontal="left" vertical="top" wrapText="1" indent="1"/>
    </xf>
    <xf numFmtId="1" fontId="1" fillId="0" borderId="11" xfId="0" applyNumberFormat="1" applyFont="1" applyFill="1" applyBorder="1" applyAlignment="1" applyProtection="1">
      <alignment horizontal="center" vertical="center"/>
      <protection locked="0"/>
    </xf>
    <xf numFmtId="1" fontId="1" fillId="0" borderId="3" xfId="0" applyNumberFormat="1" applyFont="1" applyFill="1" applyBorder="1" applyAlignment="1" applyProtection="1">
      <alignment horizontal="center" vertical="center"/>
      <protection locked="0"/>
    </xf>
    <xf numFmtId="1" fontId="1" fillId="0" borderId="12" xfId="0" applyNumberFormat="1" applyFont="1" applyFill="1" applyBorder="1" applyAlignment="1" applyProtection="1">
      <alignment horizontal="center" vertical="center"/>
      <protection locked="0"/>
    </xf>
    <xf numFmtId="49" fontId="1" fillId="0" borderId="3" xfId="0" applyNumberFormat="1" applyFont="1" applyBorder="1" applyAlignment="1" applyProtection="1">
      <alignment horizontal="center" vertical="center"/>
    </xf>
    <xf numFmtId="0" fontId="0" fillId="0" borderId="0" xfId="0" applyFont="1" applyAlignment="1" applyProtection="1">
      <alignment horizontal="right" vertical="center"/>
    </xf>
    <xf numFmtId="0" fontId="0" fillId="0" borderId="0" xfId="0" applyFont="1" applyAlignment="1" applyProtection="1"/>
    <xf numFmtId="0" fontId="0" fillId="0" borderId="0" xfId="0" applyFont="1" applyAlignment="1" applyProtection="1">
      <alignment horizontal="center" vertical="center"/>
    </xf>
    <xf numFmtId="0" fontId="11" fillId="0" borderId="0" xfId="1" applyAlignment="1" applyProtection="1">
      <alignment horizontal="left" indent="1"/>
    </xf>
    <xf numFmtId="0" fontId="0" fillId="0" borderId="0" xfId="0" applyFont="1" applyAlignment="1" applyProtection="1">
      <alignment horizontal="left" indent="1"/>
    </xf>
    <xf numFmtId="0" fontId="14" fillId="0" borderId="5" xfId="0" applyFont="1" applyBorder="1" applyAlignment="1" applyProtection="1">
      <alignment vertical="center"/>
    </xf>
    <xf numFmtId="0" fontId="0" fillId="0" borderId="5" xfId="0" applyFont="1" applyBorder="1" applyAlignment="1" applyProtection="1">
      <alignment vertical="center"/>
    </xf>
    <xf numFmtId="0" fontId="0" fillId="0" borderId="5" xfId="0" applyFont="1" applyBorder="1" applyAlignment="1" applyProtection="1">
      <alignment horizontal="right" vertical="center"/>
    </xf>
    <xf numFmtId="0" fontId="11" fillId="0" borderId="0" xfId="1" applyAlignment="1" applyProtection="1"/>
    <xf numFmtId="0" fontId="0" fillId="0" borderId="0" xfId="0" applyFont="1" applyAlignment="1" applyProtection="1">
      <alignment wrapText="1"/>
    </xf>
    <xf numFmtId="49" fontId="8" fillId="0" borderId="11" xfId="0" applyNumberFormat="1" applyFont="1" applyBorder="1" applyAlignment="1" applyProtection="1">
      <alignment horizontal="center" vertical="center"/>
    </xf>
    <xf numFmtId="49" fontId="8" fillId="0" borderId="12" xfId="0" applyNumberFormat="1" applyFont="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github.com/brianferguson/super-yahtzee/"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26</xdr:col>
      <xdr:colOff>278606</xdr:colOff>
      <xdr:row>30</xdr:row>
      <xdr:rowOff>121444</xdr:rowOff>
    </xdr:from>
    <xdr:to>
      <xdr:col>26</xdr:col>
      <xdr:colOff>483393</xdr:colOff>
      <xdr:row>31</xdr:row>
      <xdr:rowOff>28575</xdr:rowOff>
    </xdr:to>
    <xdr:sp macro="" textlink="">
      <xdr:nvSpPr>
        <xdr:cNvPr id="53" name="Label_Registered_Trademark_Copyright"/>
        <xdr:cNvSpPr txBox="1"/>
      </xdr:nvSpPr>
      <xdr:spPr>
        <a:xfrm>
          <a:off x="8679656" y="8455819"/>
          <a:ext cx="204787" cy="211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2000" b="0"/>
            <a:t>®</a:t>
          </a:r>
        </a:p>
      </xdr:txBody>
    </xdr:sp>
    <xdr:clientData/>
  </xdr:twoCellAnchor>
  <xdr:twoCellAnchor>
    <xdr:from>
      <xdr:col>24</xdr:col>
      <xdr:colOff>2378</xdr:colOff>
      <xdr:row>29</xdr:row>
      <xdr:rowOff>2381</xdr:rowOff>
    </xdr:from>
    <xdr:to>
      <xdr:col>30</xdr:col>
      <xdr:colOff>2378</xdr:colOff>
      <xdr:row>32</xdr:row>
      <xdr:rowOff>186404</xdr:rowOff>
    </xdr:to>
    <xdr:sp macro="" textlink="">
      <xdr:nvSpPr>
        <xdr:cNvPr id="24" name="Label_Copyright"/>
        <xdr:cNvSpPr txBox="1"/>
      </xdr:nvSpPr>
      <xdr:spPr>
        <a:xfrm>
          <a:off x="7184228" y="8031956"/>
          <a:ext cx="3657600" cy="841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l">
            <a:lnSpc>
              <a:spcPct val="90000"/>
            </a:lnSpc>
          </a:pPr>
          <a:r>
            <a:rPr lang="en-US" sz="1100" baseline="0"/>
            <a:t>Based on Yahtzee Scorecard E6100</a:t>
          </a:r>
          <a:br>
            <a:rPr lang="en-US" sz="1100" baseline="0"/>
          </a:br>
          <a:r>
            <a:rPr lang="en-US" sz="1100" baseline="0"/>
            <a:t>Current trademark and copyright:</a:t>
          </a:r>
          <a:br>
            <a:rPr lang="en-US" sz="1100" baseline="0"/>
          </a:br>
          <a:r>
            <a:rPr lang="en-US" sz="1100" baseline="0"/>
            <a:t>© 1982, 2014 Hasbro Pawtucket, RI 02861-1059 USA.</a:t>
          </a:r>
        </a:p>
        <a:p>
          <a:pPr algn="l">
            <a:lnSpc>
              <a:spcPct val="90000"/>
            </a:lnSpc>
          </a:pPr>
          <a:r>
            <a:rPr lang="en-US" sz="1100" baseline="0"/>
            <a:t>All Rights Reserved. TM &amp;      denote U.S. Trademarks. </a:t>
          </a:r>
          <a:br>
            <a:rPr lang="en-US" sz="1100" baseline="0"/>
          </a:br>
          <a:r>
            <a:rPr lang="en-US" sz="1100" baseline="0"/>
            <a:t>12800950500</a:t>
          </a:r>
        </a:p>
      </xdr:txBody>
    </xdr:sp>
    <xdr:clientData/>
  </xdr:twoCellAnchor>
  <xdr:twoCellAnchor>
    <xdr:from>
      <xdr:col>29</xdr:col>
      <xdr:colOff>7148</xdr:colOff>
      <xdr:row>28</xdr:row>
      <xdr:rowOff>2383</xdr:rowOff>
    </xdr:from>
    <xdr:to>
      <xdr:col>30</xdr:col>
      <xdr:colOff>1052</xdr:colOff>
      <xdr:row>28</xdr:row>
      <xdr:rowOff>304135</xdr:rowOff>
    </xdr:to>
    <xdr:sp macro="" textlink="">
      <xdr:nvSpPr>
        <xdr:cNvPr id="25" name="Label_Version"/>
        <xdr:cNvSpPr txBox="1"/>
      </xdr:nvSpPr>
      <xdr:spPr>
        <a:xfrm>
          <a:off x="10236998" y="7727158"/>
          <a:ext cx="60350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r">
            <a:lnSpc>
              <a:spcPct val="75000"/>
            </a:lnSpc>
          </a:pPr>
          <a:r>
            <a:rPr lang="en-US" sz="1100"/>
            <a:t>v1.0</a:t>
          </a:r>
          <a:br>
            <a:rPr lang="en-US" sz="1100"/>
          </a:br>
          <a:endParaRPr lang="en-US" sz="1100"/>
        </a:p>
      </xdr:txBody>
    </xdr:sp>
    <xdr:clientData/>
  </xdr:twoCellAnchor>
  <xdr:twoCellAnchor>
    <xdr:from>
      <xdr:col>24</xdr:col>
      <xdr:colOff>2378</xdr:colOff>
      <xdr:row>28</xdr:row>
      <xdr:rowOff>2380</xdr:rowOff>
    </xdr:from>
    <xdr:to>
      <xdr:col>29</xdr:col>
      <xdr:colOff>2381</xdr:colOff>
      <xdr:row>28</xdr:row>
      <xdr:rowOff>304132</xdr:rowOff>
    </xdr:to>
    <xdr:sp macro="" textlink="">
      <xdr:nvSpPr>
        <xdr:cNvPr id="23" name="Label_Author">
          <a:hlinkClick xmlns:r="http://schemas.openxmlformats.org/officeDocument/2006/relationships" r:id="rId1"/>
        </xdr:cNvPr>
        <xdr:cNvSpPr txBox="1"/>
      </xdr:nvSpPr>
      <xdr:spPr>
        <a:xfrm>
          <a:off x="7184228" y="7727155"/>
          <a:ext cx="3048003"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l">
            <a:lnSpc>
              <a:spcPct val="75000"/>
            </a:lnSpc>
          </a:pPr>
          <a:r>
            <a:rPr lang="en-US" sz="1100"/>
            <a:t>By: Brian Ferguson</a:t>
          </a:r>
        </a:p>
        <a:p>
          <a:pPr>
            <a:lnSpc>
              <a:spcPct val="75000"/>
            </a:lnSpc>
          </a:pPr>
          <a:r>
            <a:rPr lang="en-US" sz="1100">
              <a:solidFill>
                <a:srgbClr val="0070C0"/>
              </a:solidFill>
            </a:rPr>
            <a:t>https://github.com/brianferguson/super-yahtzee/</a:t>
          </a:r>
        </a:p>
      </xdr:txBody>
    </xdr:sp>
    <xdr:clientData/>
  </xdr:twoCellAnchor>
  <xdr:twoCellAnchor>
    <xdr:from>
      <xdr:col>23</xdr:col>
      <xdr:colOff>190500</xdr:colOff>
      <xdr:row>27</xdr:row>
      <xdr:rowOff>104775</xdr:rowOff>
    </xdr:from>
    <xdr:to>
      <xdr:col>23</xdr:col>
      <xdr:colOff>561975</xdr:colOff>
      <xdr:row>27</xdr:row>
      <xdr:rowOff>228600</xdr:rowOff>
    </xdr:to>
    <xdr:sp macro="" textlink="">
      <xdr:nvSpPr>
        <xdr:cNvPr id="20" name="Arrow_Bonus_Score"/>
        <xdr:cNvSpPr/>
      </xdr:nvSpPr>
      <xdr:spPr>
        <a:xfrm>
          <a:off x="6762750" y="7524750"/>
          <a:ext cx="371475" cy="123825"/>
        </a:xfrm>
        <a:prstGeom prst="lef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190500</xdr:colOff>
      <xdr:row>26</xdr:row>
      <xdr:rowOff>95250</xdr:rowOff>
    </xdr:from>
    <xdr:to>
      <xdr:col>23</xdr:col>
      <xdr:colOff>561975</xdr:colOff>
      <xdr:row>26</xdr:row>
      <xdr:rowOff>219075</xdr:rowOff>
    </xdr:to>
    <xdr:sp macro="" textlink="">
      <xdr:nvSpPr>
        <xdr:cNvPr id="3" name="Arrow_Bonus_Checkmark"/>
        <xdr:cNvSpPr/>
      </xdr:nvSpPr>
      <xdr:spPr>
        <a:xfrm>
          <a:off x="6762750" y="7210425"/>
          <a:ext cx="371475" cy="123825"/>
        </a:xfrm>
        <a:prstGeom prst="lef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23</xdr:col>
          <xdr:colOff>104775</xdr:colOff>
          <xdr:row>2</xdr:row>
          <xdr:rowOff>57150</xdr:rowOff>
        </xdr:from>
        <xdr:to>
          <xdr:col>24</xdr:col>
          <xdr:colOff>514350</xdr:colOff>
          <xdr:row>4</xdr:row>
          <xdr:rowOff>104775</xdr:rowOff>
        </xdr:to>
        <xdr:sp macro="" textlink="">
          <xdr:nvSpPr>
            <xdr:cNvPr id="1029" name="Button_Clear_Scorecard"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a:p>
              <a:pPr algn="ctr" rtl="0">
                <a:defRPr sz="1000"/>
              </a:pPr>
              <a:r>
                <a:rPr lang="en-US" sz="1100" b="0" i="0" u="none" strike="noStrike" baseline="0">
                  <a:solidFill>
                    <a:srgbClr val="000000"/>
                  </a:solidFill>
                  <a:latin typeface="Calibri"/>
                  <a:cs typeface="Calibri"/>
                </a:rPr>
                <a:t>Scorecard</a:t>
              </a:r>
            </a:p>
          </xdr:txBody>
        </xdr:sp>
        <xdr:clientData fPrintsWithSheet="0"/>
      </xdr:twoCellAnchor>
    </mc:Choice>
    <mc:Fallback/>
  </mc:AlternateContent>
  <xdr:twoCellAnchor>
    <xdr:from>
      <xdr:col>1</xdr:col>
      <xdr:colOff>78581</xdr:colOff>
      <xdr:row>33</xdr:row>
      <xdr:rowOff>2380</xdr:rowOff>
    </xdr:from>
    <xdr:to>
      <xdr:col>11</xdr:col>
      <xdr:colOff>99536</xdr:colOff>
      <xdr:row>33</xdr:row>
      <xdr:rowOff>197641</xdr:rowOff>
    </xdr:to>
    <xdr:sp macro="" textlink="">
      <xdr:nvSpPr>
        <xdr:cNvPr id="32" name="Label_License"/>
        <xdr:cNvSpPr txBox="1"/>
      </xdr:nvSpPr>
      <xdr:spPr>
        <a:xfrm>
          <a:off x="126206" y="8879680"/>
          <a:ext cx="4297680" cy="195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r>
            <a:rPr lang="en-US" sz="1100"/>
            <a:t>2020 Brian Ferguson  https://github.com/brianferguson/super-yahtzee/</a:t>
          </a:r>
        </a:p>
      </xdr:txBody>
    </xdr:sp>
    <xdr:clientData/>
  </xdr:twoCellAnchor>
  <xdr:twoCellAnchor>
    <xdr:from>
      <xdr:col>3</xdr:col>
      <xdr:colOff>269081</xdr:colOff>
      <xdr:row>30</xdr:row>
      <xdr:rowOff>83818</xdr:rowOff>
    </xdr:from>
    <xdr:to>
      <xdr:col>3</xdr:col>
      <xdr:colOff>992981</xdr:colOff>
      <xdr:row>30</xdr:row>
      <xdr:rowOff>215262</xdr:rowOff>
    </xdr:to>
    <xdr:sp macro="" textlink="">
      <xdr:nvSpPr>
        <xdr:cNvPr id="12" name="Arrow_Grand_Total"/>
        <xdr:cNvSpPr/>
      </xdr:nvSpPr>
      <xdr:spPr>
        <a:xfrm>
          <a:off x="1945481" y="8418193"/>
          <a:ext cx="723900" cy="131444"/>
        </a:xfrm>
        <a:prstGeom prst="righ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269081</xdr:colOff>
      <xdr:row>29</xdr:row>
      <xdr:rowOff>84890</xdr:rowOff>
    </xdr:from>
    <xdr:to>
      <xdr:col>3</xdr:col>
      <xdr:colOff>992981</xdr:colOff>
      <xdr:row>29</xdr:row>
      <xdr:rowOff>216334</xdr:rowOff>
    </xdr:to>
    <xdr:sp macro="" textlink="">
      <xdr:nvSpPr>
        <xdr:cNvPr id="11" name="Arrow_Lower_Total_2"/>
        <xdr:cNvSpPr/>
      </xdr:nvSpPr>
      <xdr:spPr>
        <a:xfrm>
          <a:off x="1783556" y="8190665"/>
          <a:ext cx="723900" cy="131444"/>
        </a:xfrm>
        <a:prstGeom prst="righ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778669</xdr:colOff>
      <xdr:row>29</xdr:row>
      <xdr:rowOff>11908</xdr:rowOff>
    </xdr:from>
    <xdr:to>
      <xdr:col>3</xdr:col>
      <xdr:colOff>286</xdr:colOff>
      <xdr:row>30</xdr:row>
      <xdr:rowOff>11908</xdr:rowOff>
    </xdr:to>
    <xdr:sp macro="" textlink="">
      <xdr:nvSpPr>
        <xdr:cNvPr id="56" name="Label_Lower_Total_Info_2"/>
        <xdr:cNvSpPr txBox="1"/>
      </xdr:nvSpPr>
      <xdr:spPr>
        <a:xfrm>
          <a:off x="826294" y="8041483"/>
          <a:ext cx="85039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marL="0" marR="0" lvl="0" indent="0" algn="ctr" defTabSz="914400" eaLnBrk="1" fontAlgn="auto" latinLnBrk="0" hangingPunct="1">
            <a:lnSpc>
              <a:spcPct val="75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mn-lt"/>
              <a:ea typeface="+mn-ea"/>
              <a:cs typeface="+mn-cs"/>
            </a:rPr>
            <a:t>Of Upper</a:t>
          </a:r>
          <a:br>
            <a:rPr kumimoji="0" lang="en-US" sz="1000" b="1" i="0" u="none" strike="noStrike" kern="0" cap="none" spc="0" normalizeH="0" baseline="0" noProof="0">
              <a:ln>
                <a:noFill/>
              </a:ln>
              <a:solidFill>
                <a:sysClr val="windowText" lastClr="000000"/>
              </a:solidFill>
              <a:effectLst/>
              <a:uLnTx/>
              <a:uFillTx/>
              <a:latin typeface="+mn-lt"/>
              <a:ea typeface="+mn-ea"/>
              <a:cs typeface="+mn-cs"/>
            </a:rPr>
          </a:br>
          <a:r>
            <a:rPr kumimoji="0" lang="en-US" sz="1000" b="1" i="0" u="none" strike="noStrike" kern="0" cap="none" spc="0" normalizeH="0" baseline="0" noProof="0">
              <a:ln>
                <a:noFill/>
              </a:ln>
              <a:solidFill>
                <a:sysClr val="windowText" lastClr="000000"/>
              </a:solidFill>
              <a:effectLst/>
              <a:uLnTx/>
              <a:uFillTx/>
              <a:latin typeface="+mn-lt"/>
              <a:ea typeface="+mn-ea"/>
              <a:cs typeface="+mn-cs"/>
            </a:rPr>
            <a:t>Section</a:t>
          </a:r>
        </a:p>
      </xdr:txBody>
    </xdr:sp>
    <xdr:clientData/>
  </xdr:twoCellAnchor>
  <xdr:twoCellAnchor>
    <xdr:from>
      <xdr:col>3</xdr:col>
      <xdr:colOff>269081</xdr:colOff>
      <xdr:row>28</xdr:row>
      <xdr:rowOff>90725</xdr:rowOff>
    </xdr:from>
    <xdr:to>
      <xdr:col>3</xdr:col>
      <xdr:colOff>992981</xdr:colOff>
      <xdr:row>28</xdr:row>
      <xdr:rowOff>222169</xdr:rowOff>
    </xdr:to>
    <xdr:sp macro="" textlink="">
      <xdr:nvSpPr>
        <xdr:cNvPr id="10" name="Arrow_Lower_Total_1"/>
        <xdr:cNvSpPr/>
      </xdr:nvSpPr>
      <xdr:spPr>
        <a:xfrm>
          <a:off x="1783556" y="7891700"/>
          <a:ext cx="723900" cy="131444"/>
        </a:xfrm>
        <a:prstGeom prst="righ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778671</xdr:colOff>
      <xdr:row>28</xdr:row>
      <xdr:rowOff>11908</xdr:rowOff>
    </xdr:from>
    <xdr:to>
      <xdr:col>3</xdr:col>
      <xdr:colOff>288</xdr:colOff>
      <xdr:row>29</xdr:row>
      <xdr:rowOff>11908</xdr:rowOff>
    </xdr:to>
    <xdr:sp macro="" textlink="">
      <xdr:nvSpPr>
        <xdr:cNvPr id="55" name="Label_Lower_Total_Info_1"/>
        <xdr:cNvSpPr txBox="1"/>
      </xdr:nvSpPr>
      <xdr:spPr>
        <a:xfrm>
          <a:off x="826296" y="7736683"/>
          <a:ext cx="85039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marL="0" marR="0" lvl="0" indent="0" algn="ctr" defTabSz="914400" eaLnBrk="1" fontAlgn="auto" latinLnBrk="0" hangingPunct="1">
            <a:lnSpc>
              <a:spcPct val="75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mn-lt"/>
              <a:ea typeface="+mn-ea"/>
              <a:cs typeface="+mn-cs"/>
            </a:rPr>
            <a:t>Of Lower</a:t>
          </a:r>
          <a:br>
            <a:rPr kumimoji="0" lang="en-US" sz="1000" b="1" i="0" u="none" strike="noStrike" kern="0" cap="none" spc="0" normalizeH="0" baseline="0" noProof="0">
              <a:ln>
                <a:noFill/>
              </a:ln>
              <a:solidFill>
                <a:sysClr val="windowText" lastClr="000000"/>
              </a:solidFill>
              <a:effectLst/>
              <a:uLnTx/>
              <a:uFillTx/>
              <a:latin typeface="+mn-lt"/>
              <a:ea typeface="+mn-ea"/>
              <a:cs typeface="+mn-cs"/>
            </a:rPr>
          </a:br>
          <a:r>
            <a:rPr kumimoji="0" lang="en-US" sz="1000" b="1" i="0" u="none" strike="noStrike" kern="0" cap="none" spc="0" normalizeH="0" baseline="0" noProof="0">
              <a:ln>
                <a:noFill/>
              </a:ln>
              <a:solidFill>
                <a:sysClr val="windowText" lastClr="000000"/>
              </a:solidFill>
              <a:effectLst/>
              <a:uLnTx/>
              <a:uFillTx/>
              <a:latin typeface="+mn-lt"/>
              <a:ea typeface="+mn-ea"/>
              <a:cs typeface="+mn-cs"/>
            </a:rPr>
            <a:t>Section</a:t>
          </a:r>
        </a:p>
      </xdr:txBody>
    </xdr:sp>
    <xdr:clientData/>
  </xdr:twoCellAnchor>
  <xdr:twoCellAnchor>
    <xdr:from>
      <xdr:col>3</xdr:col>
      <xdr:colOff>2382</xdr:colOff>
      <xdr:row>27</xdr:row>
      <xdr:rowOff>14287</xdr:rowOff>
    </xdr:from>
    <xdr:to>
      <xdr:col>3</xdr:col>
      <xdr:colOff>1245966</xdr:colOff>
      <xdr:row>28</xdr:row>
      <xdr:rowOff>14287</xdr:rowOff>
    </xdr:to>
    <xdr:sp macro="" textlink="">
      <xdr:nvSpPr>
        <xdr:cNvPr id="38" name="Label_Score_Bonus_Yahtzee_Score"/>
        <xdr:cNvSpPr txBox="1"/>
      </xdr:nvSpPr>
      <xdr:spPr>
        <a:xfrm>
          <a:off x="1678782" y="7434262"/>
          <a:ext cx="124358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SCORE </a:t>
          </a:r>
          <a:r>
            <a:rPr lang="en-US" sz="1200" b="1"/>
            <a:t>100</a:t>
          </a:r>
          <a:endParaRPr lang="en-US" sz="1100" b="1"/>
        </a:p>
        <a:p>
          <a:pPr algn="ctr">
            <a:lnSpc>
              <a:spcPct val="75000"/>
            </a:lnSpc>
          </a:pPr>
          <a:r>
            <a:rPr lang="en-US" sz="1100" b="1"/>
            <a:t>PER ✔</a:t>
          </a:r>
        </a:p>
      </xdr:txBody>
    </xdr:sp>
    <xdr:clientData/>
  </xdr:twoCellAnchor>
  <xdr:twoCellAnchor>
    <xdr:from>
      <xdr:col>3</xdr:col>
      <xdr:colOff>2382</xdr:colOff>
      <xdr:row>25</xdr:row>
      <xdr:rowOff>295276</xdr:rowOff>
    </xdr:from>
    <xdr:to>
      <xdr:col>3</xdr:col>
      <xdr:colOff>1245966</xdr:colOff>
      <xdr:row>26</xdr:row>
      <xdr:rowOff>292228</xdr:rowOff>
    </xdr:to>
    <xdr:sp macro="" textlink="">
      <xdr:nvSpPr>
        <xdr:cNvPr id="35" name="Label_Score_Bonus_Yahtzee_Checkmark"/>
        <xdr:cNvSpPr txBox="1"/>
      </xdr:nvSpPr>
      <xdr:spPr>
        <a:xfrm>
          <a:off x="1678782" y="7105651"/>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pPr algn="ctr">
            <a:lnSpc>
              <a:spcPct val="75000"/>
            </a:lnSpc>
          </a:pPr>
          <a:r>
            <a:rPr lang="en-US" sz="1100" b="1"/>
            <a:t>✔ FOR</a:t>
          </a:r>
        </a:p>
        <a:p>
          <a:pPr algn="ctr">
            <a:lnSpc>
              <a:spcPct val="75000"/>
            </a:lnSpc>
          </a:pPr>
          <a:r>
            <a:rPr lang="en-US" sz="1100" b="1"/>
            <a:t>EACH BONUS</a:t>
          </a:r>
        </a:p>
      </xdr:txBody>
    </xdr:sp>
    <xdr:clientData/>
  </xdr:twoCellAnchor>
  <xdr:twoCellAnchor>
    <xdr:from>
      <xdr:col>3</xdr:col>
      <xdr:colOff>2381</xdr:colOff>
      <xdr:row>25</xdr:row>
      <xdr:rowOff>19051</xdr:rowOff>
    </xdr:from>
    <xdr:to>
      <xdr:col>3</xdr:col>
      <xdr:colOff>1245965</xdr:colOff>
      <xdr:row>26</xdr:row>
      <xdr:rowOff>16003</xdr:rowOff>
    </xdr:to>
    <xdr:sp macro="" textlink="">
      <xdr:nvSpPr>
        <xdr:cNvPr id="37" name="Label_Score_Chance"/>
        <xdr:cNvSpPr txBox="1"/>
      </xdr:nvSpPr>
      <xdr:spPr>
        <a:xfrm>
          <a:off x="1678781" y="6829426"/>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Score Total</a:t>
          </a:r>
          <a:br>
            <a:rPr lang="en-US" sz="1100" b="1"/>
          </a:br>
          <a:r>
            <a:rPr lang="en-US" sz="1100" b="1"/>
            <a:t>Of All </a:t>
          </a:r>
          <a:r>
            <a:rPr lang="en-US" sz="1200" b="1"/>
            <a:t>6</a:t>
          </a:r>
          <a:r>
            <a:rPr lang="en-US" sz="1100" b="1"/>
            <a:t> Dice</a:t>
          </a:r>
        </a:p>
      </xdr:txBody>
    </xdr:sp>
    <xdr:clientData/>
  </xdr:twoCellAnchor>
  <xdr:twoCellAnchor>
    <xdr:from>
      <xdr:col>1</xdr:col>
      <xdr:colOff>962024</xdr:colOff>
      <xdr:row>24</xdr:row>
      <xdr:rowOff>11907</xdr:rowOff>
    </xdr:from>
    <xdr:to>
      <xdr:col>3</xdr:col>
      <xdr:colOff>761</xdr:colOff>
      <xdr:row>25</xdr:row>
      <xdr:rowOff>11907</xdr:rowOff>
    </xdr:to>
    <xdr:sp macro="" textlink="">
      <xdr:nvSpPr>
        <xdr:cNvPr id="44" name="Label_Yahtzee_Info"/>
        <xdr:cNvSpPr txBox="1"/>
      </xdr:nvSpPr>
      <xdr:spPr>
        <a:xfrm>
          <a:off x="1009649" y="6517482"/>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000" b="1">
              <a:solidFill>
                <a:sysClr val="windowText" lastClr="000000"/>
              </a:solidFill>
            </a:rPr>
            <a:t>6</a:t>
          </a:r>
          <a:r>
            <a:rPr lang="en-US" sz="900" b="1">
              <a:solidFill>
                <a:sysClr val="windowText" lastClr="000000"/>
              </a:solidFill>
            </a:rPr>
            <a:t> of</a:t>
          </a:r>
        </a:p>
        <a:p>
          <a:pPr algn="ctr">
            <a:lnSpc>
              <a:spcPct val="75000"/>
            </a:lnSpc>
          </a:pPr>
          <a:r>
            <a:rPr lang="en-US" sz="900" b="1">
              <a:solidFill>
                <a:sysClr val="windowText" lastClr="000000"/>
              </a:solidFill>
            </a:rPr>
            <a:t>a kind</a:t>
          </a:r>
        </a:p>
      </xdr:txBody>
    </xdr:sp>
    <xdr:clientData/>
  </xdr:twoCellAnchor>
  <xdr:twoCellAnchor>
    <xdr:from>
      <xdr:col>1</xdr:col>
      <xdr:colOff>962022</xdr:colOff>
      <xdr:row>23</xdr:row>
      <xdr:rowOff>11907</xdr:rowOff>
    </xdr:from>
    <xdr:to>
      <xdr:col>3</xdr:col>
      <xdr:colOff>759</xdr:colOff>
      <xdr:row>24</xdr:row>
      <xdr:rowOff>11907</xdr:rowOff>
    </xdr:to>
    <xdr:sp macro="" textlink="">
      <xdr:nvSpPr>
        <xdr:cNvPr id="43" name="Label_ExLgStraight_Info"/>
        <xdr:cNvSpPr txBox="1"/>
      </xdr:nvSpPr>
      <xdr:spPr>
        <a:xfrm>
          <a:off x="1009647" y="6212682"/>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900" b="1">
              <a:solidFill>
                <a:sysClr val="windowText" lastClr="000000"/>
              </a:solidFill>
            </a:rPr>
            <a:t>Sequence</a:t>
          </a:r>
        </a:p>
        <a:p>
          <a:pPr algn="ctr">
            <a:lnSpc>
              <a:spcPct val="75000"/>
            </a:lnSpc>
          </a:pPr>
          <a:r>
            <a:rPr lang="en-US" sz="900" b="1">
              <a:solidFill>
                <a:sysClr val="windowText" lastClr="000000"/>
              </a:solidFill>
            </a:rPr>
            <a:t>of </a:t>
          </a:r>
          <a:r>
            <a:rPr lang="en-US" sz="1000" b="1">
              <a:solidFill>
                <a:sysClr val="windowText" lastClr="000000"/>
              </a:solidFill>
            </a:rPr>
            <a:t>6</a:t>
          </a:r>
          <a:endParaRPr lang="en-US" sz="900" b="1">
            <a:solidFill>
              <a:sysClr val="windowText" lastClr="000000"/>
            </a:solidFill>
          </a:endParaRPr>
        </a:p>
      </xdr:txBody>
    </xdr:sp>
    <xdr:clientData/>
  </xdr:twoCellAnchor>
  <xdr:twoCellAnchor>
    <xdr:from>
      <xdr:col>1</xdr:col>
      <xdr:colOff>30959</xdr:colOff>
      <xdr:row>23</xdr:row>
      <xdr:rowOff>11907</xdr:rowOff>
    </xdr:from>
    <xdr:to>
      <xdr:col>2</xdr:col>
      <xdr:colOff>211934</xdr:colOff>
      <xdr:row>24</xdr:row>
      <xdr:rowOff>8859</xdr:rowOff>
    </xdr:to>
    <xdr:sp macro="" textlink="">
      <xdr:nvSpPr>
        <xdr:cNvPr id="21" name="Label_ExLgStraight"/>
        <xdr:cNvSpPr txBox="1"/>
      </xdr:nvSpPr>
      <xdr:spPr>
        <a:xfrm>
          <a:off x="78584" y="6212682"/>
          <a:ext cx="114300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lvl="0" algn="l"/>
          <a:r>
            <a:rPr lang="en-US" sz="1200" b="1"/>
            <a:t>Ex. Lg. Straight</a:t>
          </a:r>
        </a:p>
      </xdr:txBody>
    </xdr:sp>
    <xdr:clientData/>
  </xdr:twoCellAnchor>
  <xdr:twoCellAnchor>
    <xdr:from>
      <xdr:col>2</xdr:col>
      <xdr:colOff>2</xdr:colOff>
      <xdr:row>22</xdr:row>
      <xdr:rowOff>11906</xdr:rowOff>
    </xdr:from>
    <xdr:to>
      <xdr:col>3</xdr:col>
      <xdr:colOff>764</xdr:colOff>
      <xdr:row>23</xdr:row>
      <xdr:rowOff>11906</xdr:rowOff>
    </xdr:to>
    <xdr:sp macro="" textlink="">
      <xdr:nvSpPr>
        <xdr:cNvPr id="42" name="Label_LgStraight_Info"/>
        <xdr:cNvSpPr txBox="1"/>
      </xdr:nvSpPr>
      <xdr:spPr>
        <a:xfrm>
          <a:off x="1009652" y="5907881"/>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900" b="1">
              <a:solidFill>
                <a:sysClr val="windowText" lastClr="000000"/>
              </a:solidFill>
            </a:rPr>
            <a:t>Sequence</a:t>
          </a:r>
        </a:p>
        <a:p>
          <a:pPr algn="ctr">
            <a:lnSpc>
              <a:spcPct val="75000"/>
            </a:lnSpc>
          </a:pPr>
          <a:r>
            <a:rPr lang="en-US" sz="900" b="1">
              <a:solidFill>
                <a:sysClr val="windowText" lastClr="000000"/>
              </a:solidFill>
            </a:rPr>
            <a:t>of </a:t>
          </a:r>
          <a:r>
            <a:rPr lang="en-US" sz="1000" b="1">
              <a:solidFill>
                <a:sysClr val="windowText" lastClr="000000"/>
              </a:solidFill>
            </a:rPr>
            <a:t>5</a:t>
          </a:r>
          <a:endParaRPr lang="en-US" sz="900" b="1">
            <a:solidFill>
              <a:sysClr val="windowText" lastClr="000000"/>
            </a:solidFill>
          </a:endParaRPr>
        </a:p>
      </xdr:txBody>
    </xdr:sp>
    <xdr:clientData/>
  </xdr:twoCellAnchor>
  <xdr:twoCellAnchor>
    <xdr:from>
      <xdr:col>1</xdr:col>
      <xdr:colOff>962023</xdr:colOff>
      <xdr:row>21</xdr:row>
      <xdr:rowOff>11907</xdr:rowOff>
    </xdr:from>
    <xdr:to>
      <xdr:col>3</xdr:col>
      <xdr:colOff>760</xdr:colOff>
      <xdr:row>22</xdr:row>
      <xdr:rowOff>11907</xdr:rowOff>
    </xdr:to>
    <xdr:sp macro="" textlink="">
      <xdr:nvSpPr>
        <xdr:cNvPr id="41" name="Label_SmStraight_Info"/>
        <xdr:cNvSpPr txBox="1"/>
      </xdr:nvSpPr>
      <xdr:spPr>
        <a:xfrm>
          <a:off x="1009648" y="5603082"/>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900" b="1">
              <a:solidFill>
                <a:sysClr val="windowText" lastClr="000000"/>
              </a:solidFill>
            </a:rPr>
            <a:t>Sequence</a:t>
          </a:r>
        </a:p>
        <a:p>
          <a:pPr algn="ctr">
            <a:lnSpc>
              <a:spcPct val="75000"/>
            </a:lnSpc>
          </a:pPr>
          <a:r>
            <a:rPr lang="en-US" sz="900" b="1">
              <a:solidFill>
                <a:sysClr val="windowText" lastClr="000000"/>
              </a:solidFill>
            </a:rPr>
            <a:t>of </a:t>
          </a:r>
          <a:r>
            <a:rPr lang="en-US" sz="1000" b="1">
              <a:solidFill>
                <a:sysClr val="windowText" lastClr="000000"/>
              </a:solidFill>
            </a:rPr>
            <a:t>4</a:t>
          </a:r>
          <a:endParaRPr lang="en-US" sz="900" b="1">
            <a:solidFill>
              <a:sysClr val="windowText" lastClr="000000"/>
            </a:solidFill>
          </a:endParaRPr>
        </a:p>
      </xdr:txBody>
    </xdr:sp>
    <xdr:clientData/>
  </xdr:twoCellAnchor>
  <xdr:twoCellAnchor>
    <xdr:from>
      <xdr:col>1</xdr:col>
      <xdr:colOff>962022</xdr:colOff>
      <xdr:row>20</xdr:row>
      <xdr:rowOff>11906</xdr:rowOff>
    </xdr:from>
    <xdr:to>
      <xdr:col>3</xdr:col>
      <xdr:colOff>759</xdr:colOff>
      <xdr:row>21</xdr:row>
      <xdr:rowOff>11906</xdr:rowOff>
    </xdr:to>
    <xdr:sp macro="" textlink="">
      <xdr:nvSpPr>
        <xdr:cNvPr id="52" name="Label_3_Pair_Info"/>
        <xdr:cNvSpPr txBox="1"/>
      </xdr:nvSpPr>
      <xdr:spPr>
        <a:xfrm>
          <a:off x="1009647" y="5298281"/>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050" b="1">
              <a:solidFill>
                <a:sysClr val="windowText" lastClr="000000"/>
              </a:solidFill>
            </a:rPr>
            <a:t>2</a:t>
          </a:r>
          <a:r>
            <a:rPr lang="en-US" sz="1000" b="1">
              <a:solidFill>
                <a:schemeClr val="dk1"/>
              </a:solidFill>
              <a:effectLst/>
              <a:latin typeface="+mn-lt"/>
              <a:ea typeface="+mn-ea"/>
              <a:cs typeface="+mn-cs"/>
            </a:rPr>
            <a:t>×</a:t>
          </a:r>
          <a:r>
            <a:rPr lang="en-US" sz="1050" b="1">
              <a:solidFill>
                <a:sysClr val="windowText" lastClr="000000"/>
              </a:solidFill>
            </a:rPr>
            <a:t>2</a:t>
          </a:r>
          <a:r>
            <a:rPr lang="en-US" sz="1000" b="1">
              <a:solidFill>
                <a:sysClr val="windowText" lastClr="000000"/>
              </a:solidFill>
            </a:rPr>
            <a:t>×</a:t>
          </a:r>
          <a:r>
            <a:rPr lang="en-US" sz="1050" b="1">
              <a:solidFill>
                <a:sysClr val="windowText" lastClr="000000"/>
              </a:solidFill>
            </a:rPr>
            <a:t>2</a:t>
          </a:r>
          <a:endParaRPr lang="en-US" sz="900" b="1">
            <a:solidFill>
              <a:sysClr val="windowText" lastClr="000000"/>
            </a:solidFill>
          </a:endParaRPr>
        </a:p>
      </xdr:txBody>
    </xdr:sp>
    <xdr:clientData/>
  </xdr:twoCellAnchor>
  <xdr:twoCellAnchor>
    <xdr:from>
      <xdr:col>1</xdr:col>
      <xdr:colOff>962023</xdr:colOff>
      <xdr:row>19</xdr:row>
      <xdr:rowOff>21431</xdr:rowOff>
    </xdr:from>
    <xdr:to>
      <xdr:col>3</xdr:col>
      <xdr:colOff>760</xdr:colOff>
      <xdr:row>20</xdr:row>
      <xdr:rowOff>21431</xdr:rowOff>
    </xdr:to>
    <xdr:sp macro="" textlink="">
      <xdr:nvSpPr>
        <xdr:cNvPr id="40" name="Label_Full_House_Info"/>
        <xdr:cNvSpPr txBox="1"/>
      </xdr:nvSpPr>
      <xdr:spPr>
        <a:xfrm>
          <a:off x="1009648" y="5003006"/>
          <a:ext cx="6675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050" b="1">
              <a:solidFill>
                <a:sysClr val="windowText" lastClr="000000"/>
              </a:solidFill>
            </a:rPr>
            <a:t>4</a:t>
          </a:r>
          <a:r>
            <a:rPr lang="en-US" sz="1000" b="1">
              <a:solidFill>
                <a:schemeClr val="dk1"/>
              </a:solidFill>
              <a:effectLst/>
              <a:latin typeface="+mn-lt"/>
              <a:ea typeface="+mn-ea"/>
              <a:cs typeface="+mn-cs"/>
            </a:rPr>
            <a:t>×</a:t>
          </a:r>
          <a:r>
            <a:rPr lang="en-US" sz="1050" b="1">
              <a:solidFill>
                <a:sysClr val="windowText" lastClr="000000"/>
              </a:solidFill>
            </a:rPr>
            <a:t>2</a:t>
          </a:r>
          <a:r>
            <a:rPr lang="en-US" sz="1000" b="1">
              <a:solidFill>
                <a:sysClr val="windowText" lastClr="000000"/>
              </a:solidFill>
            </a:rPr>
            <a:t> or</a:t>
          </a:r>
        </a:p>
        <a:p>
          <a:pPr algn="ctr">
            <a:lnSpc>
              <a:spcPct val="75000"/>
            </a:lnSpc>
          </a:pPr>
          <a:r>
            <a:rPr lang="en-US" sz="1050" b="1">
              <a:solidFill>
                <a:sysClr val="windowText" lastClr="000000"/>
              </a:solidFill>
            </a:rPr>
            <a:t>3</a:t>
          </a:r>
          <a:r>
            <a:rPr lang="en-US" sz="1000" b="1">
              <a:solidFill>
                <a:schemeClr val="dk1"/>
              </a:solidFill>
              <a:effectLst/>
              <a:latin typeface="+mn-lt"/>
              <a:ea typeface="+mn-ea"/>
              <a:cs typeface="+mn-cs"/>
            </a:rPr>
            <a:t>×</a:t>
          </a:r>
          <a:r>
            <a:rPr lang="en-US" sz="1050" b="1">
              <a:solidFill>
                <a:sysClr val="windowText" lastClr="000000"/>
              </a:solidFill>
            </a:rPr>
            <a:t>3</a:t>
          </a:r>
          <a:endParaRPr lang="en-US" sz="900" b="1">
            <a:solidFill>
              <a:sysClr val="windowText" lastClr="000000"/>
            </a:solidFill>
          </a:endParaRPr>
        </a:p>
      </xdr:txBody>
    </xdr:sp>
    <xdr:clientData/>
  </xdr:twoCellAnchor>
  <xdr:twoCellAnchor>
    <xdr:from>
      <xdr:col>3</xdr:col>
      <xdr:colOff>2382</xdr:colOff>
      <xdr:row>18</xdr:row>
      <xdr:rowOff>19050</xdr:rowOff>
    </xdr:from>
    <xdr:to>
      <xdr:col>3</xdr:col>
      <xdr:colOff>1245966</xdr:colOff>
      <xdr:row>19</xdr:row>
      <xdr:rowOff>16002</xdr:rowOff>
    </xdr:to>
    <xdr:sp macro="" textlink="">
      <xdr:nvSpPr>
        <xdr:cNvPr id="36" name="Label_Score_5_Kind"/>
        <xdr:cNvSpPr txBox="1"/>
      </xdr:nvSpPr>
      <xdr:spPr>
        <a:xfrm>
          <a:off x="1678782" y="4695825"/>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Add Total</a:t>
          </a:r>
          <a:br>
            <a:rPr lang="en-US" sz="1100" b="1"/>
          </a:br>
          <a:r>
            <a:rPr lang="en-US" sz="1100" b="1"/>
            <a:t>Of All </a:t>
          </a:r>
          <a:r>
            <a:rPr lang="en-US" sz="1200" b="1"/>
            <a:t>6</a:t>
          </a:r>
          <a:r>
            <a:rPr lang="en-US" sz="1100" b="1"/>
            <a:t> Dice</a:t>
          </a:r>
        </a:p>
      </xdr:txBody>
    </xdr:sp>
    <xdr:clientData/>
  </xdr:twoCellAnchor>
  <xdr:twoCellAnchor>
    <xdr:from>
      <xdr:col>3</xdr:col>
      <xdr:colOff>4764</xdr:colOff>
      <xdr:row>17</xdr:row>
      <xdr:rowOff>19051</xdr:rowOff>
    </xdr:from>
    <xdr:to>
      <xdr:col>4</xdr:col>
      <xdr:colOff>573</xdr:colOff>
      <xdr:row>18</xdr:row>
      <xdr:rowOff>16003</xdr:rowOff>
    </xdr:to>
    <xdr:sp macro="" textlink="">
      <xdr:nvSpPr>
        <xdr:cNvPr id="34" name="Label_Score_4_Kind"/>
        <xdr:cNvSpPr txBox="1"/>
      </xdr:nvSpPr>
      <xdr:spPr>
        <a:xfrm>
          <a:off x="1681164" y="4391026"/>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Add Total</a:t>
          </a:r>
          <a:br>
            <a:rPr lang="en-US" sz="1100" b="1"/>
          </a:br>
          <a:r>
            <a:rPr lang="en-US" sz="1100" b="1"/>
            <a:t>Of All </a:t>
          </a:r>
          <a:r>
            <a:rPr lang="en-US" sz="1200" b="1"/>
            <a:t>6</a:t>
          </a:r>
          <a:r>
            <a:rPr lang="en-US" sz="1100" b="1"/>
            <a:t> Dice</a:t>
          </a:r>
        </a:p>
      </xdr:txBody>
    </xdr:sp>
    <xdr:clientData/>
  </xdr:twoCellAnchor>
  <xdr:twoCellAnchor>
    <xdr:from>
      <xdr:col>3</xdr:col>
      <xdr:colOff>269081</xdr:colOff>
      <xdr:row>15</xdr:row>
      <xdr:rowOff>87034</xdr:rowOff>
    </xdr:from>
    <xdr:to>
      <xdr:col>3</xdr:col>
      <xdr:colOff>992981</xdr:colOff>
      <xdr:row>15</xdr:row>
      <xdr:rowOff>218478</xdr:rowOff>
    </xdr:to>
    <xdr:sp macro="" textlink="">
      <xdr:nvSpPr>
        <xdr:cNvPr id="6" name="Arrow_Upper_Total_2"/>
        <xdr:cNvSpPr/>
      </xdr:nvSpPr>
      <xdr:spPr>
        <a:xfrm>
          <a:off x="1783556" y="3925609"/>
          <a:ext cx="723900" cy="131444"/>
        </a:xfrm>
        <a:prstGeom prst="righ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778662</xdr:colOff>
      <xdr:row>15</xdr:row>
      <xdr:rowOff>11908</xdr:rowOff>
    </xdr:from>
    <xdr:to>
      <xdr:col>3</xdr:col>
      <xdr:colOff>279</xdr:colOff>
      <xdr:row>16</xdr:row>
      <xdr:rowOff>8860</xdr:rowOff>
    </xdr:to>
    <xdr:sp macro="" textlink="">
      <xdr:nvSpPr>
        <xdr:cNvPr id="54" name="Label_Upper_Total_Info"/>
        <xdr:cNvSpPr txBox="1"/>
      </xdr:nvSpPr>
      <xdr:spPr>
        <a:xfrm>
          <a:off x="826287" y="3774283"/>
          <a:ext cx="850392"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marL="0" marR="0" lvl="0" indent="0" algn="ctr" defTabSz="914400" eaLnBrk="1" fontAlgn="auto" latinLnBrk="0" hangingPunct="1">
            <a:lnSpc>
              <a:spcPct val="75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mn-lt"/>
              <a:ea typeface="+mn-ea"/>
              <a:cs typeface="+mn-cs"/>
            </a:rPr>
            <a:t>Of Upper</a:t>
          </a:r>
          <a:br>
            <a:rPr kumimoji="0" lang="en-US" sz="1000" b="1" i="0" u="none" strike="noStrike" kern="0" cap="none" spc="0" normalizeH="0" baseline="0" noProof="0">
              <a:ln>
                <a:noFill/>
              </a:ln>
              <a:solidFill>
                <a:sysClr val="windowText" lastClr="000000"/>
              </a:solidFill>
              <a:effectLst/>
              <a:uLnTx/>
              <a:uFillTx/>
              <a:latin typeface="+mn-lt"/>
              <a:ea typeface="+mn-ea"/>
              <a:cs typeface="+mn-cs"/>
            </a:rPr>
          </a:br>
          <a:r>
            <a:rPr kumimoji="0" lang="en-US" sz="1000" b="1" i="0" u="none" strike="noStrike" kern="0" cap="none" spc="0" normalizeH="0" baseline="0" noProof="0">
              <a:ln>
                <a:noFill/>
              </a:ln>
              <a:solidFill>
                <a:sysClr val="windowText" lastClr="000000"/>
              </a:solidFill>
              <a:effectLst/>
              <a:uLnTx/>
              <a:uFillTx/>
              <a:latin typeface="+mn-lt"/>
              <a:ea typeface="+mn-ea"/>
              <a:cs typeface="+mn-cs"/>
            </a:rPr>
            <a:t>Section</a:t>
          </a:r>
        </a:p>
      </xdr:txBody>
    </xdr:sp>
    <xdr:clientData/>
  </xdr:twoCellAnchor>
  <xdr:twoCellAnchor>
    <xdr:from>
      <xdr:col>1</xdr:col>
      <xdr:colOff>778673</xdr:colOff>
      <xdr:row>14</xdr:row>
      <xdr:rowOff>11909</xdr:rowOff>
    </xdr:from>
    <xdr:to>
      <xdr:col>3</xdr:col>
      <xdr:colOff>290</xdr:colOff>
      <xdr:row>15</xdr:row>
      <xdr:rowOff>8861</xdr:rowOff>
    </xdr:to>
    <xdr:sp macro="" textlink="">
      <xdr:nvSpPr>
        <xdr:cNvPr id="8" name="Label_Bonus_Info"/>
        <xdr:cNvSpPr txBox="1"/>
      </xdr:nvSpPr>
      <xdr:spPr>
        <a:xfrm>
          <a:off x="826298" y="3469484"/>
          <a:ext cx="850392"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000" b="1">
              <a:solidFill>
                <a:sysClr val="windowText" lastClr="000000"/>
              </a:solidFill>
            </a:rPr>
            <a:t>If total score</a:t>
          </a:r>
          <a:r>
            <a:rPr lang="en-US" sz="1000" b="1" baseline="0">
              <a:solidFill>
                <a:sysClr val="windowText" lastClr="000000"/>
              </a:solidFill>
            </a:rPr>
            <a:t/>
          </a:r>
          <a:br>
            <a:rPr lang="en-US" sz="1000" b="1" baseline="0">
              <a:solidFill>
                <a:sysClr val="windowText" lastClr="000000"/>
              </a:solidFill>
            </a:rPr>
          </a:br>
          <a:r>
            <a:rPr lang="en-US" sz="1000" b="1" baseline="0">
              <a:solidFill>
                <a:sysClr val="windowText" lastClr="000000"/>
              </a:solidFill>
            </a:rPr>
            <a:t>is </a:t>
          </a:r>
          <a:r>
            <a:rPr lang="en-US" sz="1050" b="1" baseline="0">
              <a:solidFill>
                <a:sysClr val="windowText" lastClr="000000"/>
              </a:solidFill>
            </a:rPr>
            <a:t>84</a:t>
          </a:r>
          <a:r>
            <a:rPr lang="en-US" sz="1000" b="1" baseline="0">
              <a:solidFill>
                <a:sysClr val="windowText" lastClr="000000"/>
              </a:solidFill>
            </a:rPr>
            <a:t> or over</a:t>
          </a:r>
          <a:endParaRPr lang="en-US" sz="1000" b="1">
            <a:solidFill>
              <a:sysClr val="windowText" lastClr="000000"/>
            </a:solidFill>
          </a:endParaRPr>
        </a:p>
      </xdr:txBody>
    </xdr:sp>
    <xdr:clientData/>
  </xdr:twoCellAnchor>
  <xdr:twoCellAnchor>
    <xdr:from>
      <xdr:col>3</xdr:col>
      <xdr:colOff>269081</xdr:colOff>
      <xdr:row>13</xdr:row>
      <xdr:rowOff>83344</xdr:rowOff>
    </xdr:from>
    <xdr:to>
      <xdr:col>3</xdr:col>
      <xdr:colOff>992981</xdr:colOff>
      <xdr:row>13</xdr:row>
      <xdr:rowOff>214788</xdr:rowOff>
    </xdr:to>
    <xdr:sp macro="" textlink="">
      <xdr:nvSpPr>
        <xdr:cNvPr id="9" name="Arrow_Upper_Total_1"/>
        <xdr:cNvSpPr/>
      </xdr:nvSpPr>
      <xdr:spPr>
        <a:xfrm>
          <a:off x="1783556" y="3312319"/>
          <a:ext cx="723900" cy="131444"/>
        </a:xfrm>
        <a:prstGeom prst="rightArrow">
          <a:avLst/>
        </a:prstGeom>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2382</xdr:colOff>
      <xdr:row>12</xdr:row>
      <xdr:rowOff>2381</xdr:rowOff>
    </xdr:from>
    <xdr:to>
      <xdr:col>3</xdr:col>
      <xdr:colOff>1245966</xdr:colOff>
      <xdr:row>12</xdr:row>
      <xdr:rowOff>304133</xdr:rowOff>
    </xdr:to>
    <xdr:sp macro="" textlink="">
      <xdr:nvSpPr>
        <xdr:cNvPr id="31" name="Label_Score_Sixes"/>
        <xdr:cNvSpPr txBox="1"/>
      </xdr:nvSpPr>
      <xdr:spPr>
        <a:xfrm>
          <a:off x="1678782" y="2850356"/>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Sixes</a:t>
          </a:r>
        </a:p>
      </xdr:txBody>
    </xdr:sp>
    <xdr:clientData/>
  </xdr:twoCellAnchor>
  <xdr:twoCellAnchor editAs="oneCell">
    <xdr:from>
      <xdr:col>1</xdr:col>
      <xdr:colOff>726282</xdr:colOff>
      <xdr:row>12</xdr:row>
      <xdr:rowOff>35718</xdr:rowOff>
    </xdr:from>
    <xdr:to>
      <xdr:col>2</xdr:col>
      <xdr:colOff>11145</xdr:colOff>
      <xdr:row>12</xdr:row>
      <xdr:rowOff>282606</xdr:rowOff>
    </xdr:to>
    <xdr:pic>
      <xdr:nvPicPr>
        <xdr:cNvPr id="18" name="Image_Die_Six"/>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3907" y="2883693"/>
          <a:ext cx="246888" cy="246888"/>
        </a:xfrm>
        <a:prstGeom prst="rect">
          <a:avLst/>
        </a:prstGeom>
        <a:ln>
          <a:noFill/>
        </a:ln>
        <a:effectLst>
          <a:outerShdw blurRad="12700" sx="102000" sy="102000" algn="ctr" rotWithShape="0">
            <a:prstClr val="black">
              <a:alpha val="50000"/>
            </a:prstClr>
          </a:outerShdw>
        </a:effectLst>
      </xdr:spPr>
    </xdr:pic>
    <xdr:clientData/>
  </xdr:twoCellAnchor>
  <xdr:twoCellAnchor>
    <xdr:from>
      <xdr:col>3</xdr:col>
      <xdr:colOff>2382</xdr:colOff>
      <xdr:row>11</xdr:row>
      <xdr:rowOff>2301</xdr:rowOff>
    </xdr:from>
    <xdr:to>
      <xdr:col>3</xdr:col>
      <xdr:colOff>1245966</xdr:colOff>
      <xdr:row>11</xdr:row>
      <xdr:rowOff>304053</xdr:rowOff>
    </xdr:to>
    <xdr:sp macro="" textlink="">
      <xdr:nvSpPr>
        <xdr:cNvPr id="30" name="Label_Score_Fives"/>
        <xdr:cNvSpPr txBox="1"/>
      </xdr:nvSpPr>
      <xdr:spPr>
        <a:xfrm>
          <a:off x="1678782" y="2545476"/>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Fives</a:t>
          </a:r>
        </a:p>
      </xdr:txBody>
    </xdr:sp>
    <xdr:clientData/>
  </xdr:twoCellAnchor>
  <xdr:twoCellAnchor editAs="oneCell">
    <xdr:from>
      <xdr:col>1</xdr:col>
      <xdr:colOff>726282</xdr:colOff>
      <xdr:row>11</xdr:row>
      <xdr:rowOff>34764</xdr:rowOff>
    </xdr:from>
    <xdr:to>
      <xdr:col>2</xdr:col>
      <xdr:colOff>11145</xdr:colOff>
      <xdr:row>11</xdr:row>
      <xdr:rowOff>281652</xdr:rowOff>
    </xdr:to>
    <xdr:pic>
      <xdr:nvPicPr>
        <xdr:cNvPr id="17" name="Image_Die_Five"/>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3907" y="2577939"/>
          <a:ext cx="246888" cy="246888"/>
        </a:xfrm>
        <a:prstGeom prst="rect">
          <a:avLst/>
        </a:prstGeom>
        <a:effectLst>
          <a:outerShdw blurRad="12700" sx="102000" sy="102000" algn="ctr" rotWithShape="0">
            <a:prstClr val="black">
              <a:alpha val="50000"/>
            </a:prstClr>
          </a:outerShdw>
        </a:effectLst>
      </xdr:spPr>
    </xdr:pic>
    <xdr:clientData/>
  </xdr:twoCellAnchor>
  <xdr:twoCellAnchor>
    <xdr:from>
      <xdr:col>3</xdr:col>
      <xdr:colOff>2382</xdr:colOff>
      <xdr:row>10</xdr:row>
      <xdr:rowOff>3105</xdr:rowOff>
    </xdr:from>
    <xdr:to>
      <xdr:col>3</xdr:col>
      <xdr:colOff>1245966</xdr:colOff>
      <xdr:row>11</xdr:row>
      <xdr:rowOff>57</xdr:rowOff>
    </xdr:to>
    <xdr:sp macro="" textlink="">
      <xdr:nvSpPr>
        <xdr:cNvPr id="29" name="Label_Score_Fours"/>
        <xdr:cNvSpPr txBox="1"/>
      </xdr:nvSpPr>
      <xdr:spPr>
        <a:xfrm>
          <a:off x="1678782" y="2241480"/>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Fours</a:t>
          </a:r>
        </a:p>
      </xdr:txBody>
    </xdr:sp>
    <xdr:clientData/>
  </xdr:twoCellAnchor>
  <xdr:twoCellAnchor editAs="oneCell">
    <xdr:from>
      <xdr:col>1</xdr:col>
      <xdr:colOff>726282</xdr:colOff>
      <xdr:row>10</xdr:row>
      <xdr:rowOff>33812</xdr:rowOff>
    </xdr:from>
    <xdr:to>
      <xdr:col>2</xdr:col>
      <xdr:colOff>11145</xdr:colOff>
      <xdr:row>10</xdr:row>
      <xdr:rowOff>280700</xdr:rowOff>
    </xdr:to>
    <xdr:pic>
      <xdr:nvPicPr>
        <xdr:cNvPr id="16" name="Image_Die_Fou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73907" y="2272187"/>
          <a:ext cx="246888" cy="246888"/>
        </a:xfrm>
        <a:prstGeom prst="rect">
          <a:avLst/>
        </a:prstGeom>
        <a:effectLst>
          <a:outerShdw blurRad="12700" sx="102000" sy="102000" algn="ctr" rotWithShape="0">
            <a:prstClr val="black">
              <a:alpha val="50000"/>
            </a:prstClr>
          </a:outerShdw>
        </a:effectLst>
      </xdr:spPr>
    </xdr:pic>
    <xdr:clientData/>
  </xdr:twoCellAnchor>
  <xdr:twoCellAnchor>
    <xdr:from>
      <xdr:col>3</xdr:col>
      <xdr:colOff>2382</xdr:colOff>
      <xdr:row>9</xdr:row>
      <xdr:rowOff>3186</xdr:rowOff>
    </xdr:from>
    <xdr:to>
      <xdr:col>3</xdr:col>
      <xdr:colOff>1245966</xdr:colOff>
      <xdr:row>10</xdr:row>
      <xdr:rowOff>138</xdr:rowOff>
    </xdr:to>
    <xdr:sp macro="" textlink="">
      <xdr:nvSpPr>
        <xdr:cNvPr id="28" name="Label_Score_Threes"/>
        <xdr:cNvSpPr txBox="1"/>
      </xdr:nvSpPr>
      <xdr:spPr>
        <a:xfrm>
          <a:off x="1678782" y="1936761"/>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Threes</a:t>
          </a:r>
        </a:p>
      </xdr:txBody>
    </xdr:sp>
    <xdr:clientData/>
  </xdr:twoCellAnchor>
  <xdr:twoCellAnchor editAs="oneCell">
    <xdr:from>
      <xdr:col>1</xdr:col>
      <xdr:colOff>726282</xdr:colOff>
      <xdr:row>9</xdr:row>
      <xdr:rowOff>32860</xdr:rowOff>
    </xdr:from>
    <xdr:to>
      <xdr:col>2</xdr:col>
      <xdr:colOff>11145</xdr:colOff>
      <xdr:row>9</xdr:row>
      <xdr:rowOff>279748</xdr:rowOff>
    </xdr:to>
    <xdr:pic>
      <xdr:nvPicPr>
        <xdr:cNvPr id="15" name="Image_Die_Three"/>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3907" y="1966435"/>
          <a:ext cx="246888" cy="246888"/>
        </a:xfrm>
        <a:prstGeom prst="rect">
          <a:avLst/>
        </a:prstGeom>
        <a:effectLst>
          <a:outerShdw blurRad="12700" sx="102000" sy="102000" algn="ctr" rotWithShape="0">
            <a:prstClr val="black">
              <a:alpha val="50000"/>
            </a:prstClr>
          </a:outerShdw>
        </a:effectLst>
      </xdr:spPr>
    </xdr:pic>
    <xdr:clientData/>
  </xdr:twoCellAnchor>
  <xdr:twoCellAnchor>
    <xdr:from>
      <xdr:col>3</xdr:col>
      <xdr:colOff>2382</xdr:colOff>
      <xdr:row>8</xdr:row>
      <xdr:rowOff>3267</xdr:rowOff>
    </xdr:from>
    <xdr:to>
      <xdr:col>3</xdr:col>
      <xdr:colOff>1245966</xdr:colOff>
      <xdr:row>9</xdr:row>
      <xdr:rowOff>219</xdr:rowOff>
    </xdr:to>
    <xdr:sp macro="" textlink="">
      <xdr:nvSpPr>
        <xdr:cNvPr id="27" name="Label_Score_Twos"/>
        <xdr:cNvSpPr txBox="1"/>
      </xdr:nvSpPr>
      <xdr:spPr>
        <a:xfrm>
          <a:off x="1678782" y="1632042"/>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Twos</a:t>
          </a:r>
        </a:p>
      </xdr:txBody>
    </xdr:sp>
    <xdr:clientData/>
  </xdr:twoCellAnchor>
  <xdr:twoCellAnchor editAs="oneCell">
    <xdr:from>
      <xdr:col>1</xdr:col>
      <xdr:colOff>726281</xdr:colOff>
      <xdr:row>8</xdr:row>
      <xdr:rowOff>31907</xdr:rowOff>
    </xdr:from>
    <xdr:to>
      <xdr:col>2</xdr:col>
      <xdr:colOff>11144</xdr:colOff>
      <xdr:row>8</xdr:row>
      <xdr:rowOff>278795</xdr:rowOff>
    </xdr:to>
    <xdr:pic>
      <xdr:nvPicPr>
        <xdr:cNvPr id="14" name="Image_Die_Two"/>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906" y="1660682"/>
          <a:ext cx="246888" cy="246888"/>
        </a:xfrm>
        <a:prstGeom prst="rect">
          <a:avLst/>
        </a:prstGeom>
        <a:effectLst>
          <a:outerShdw blurRad="12700" sx="102000" sy="102000" algn="ctr" rotWithShape="0">
            <a:prstClr val="black">
              <a:alpha val="50000"/>
            </a:prstClr>
          </a:outerShdw>
        </a:effectLst>
      </xdr:spPr>
    </xdr:pic>
    <xdr:clientData/>
  </xdr:twoCellAnchor>
  <xdr:twoCellAnchor>
    <xdr:from>
      <xdr:col>3</xdr:col>
      <xdr:colOff>2382</xdr:colOff>
      <xdr:row>7</xdr:row>
      <xdr:rowOff>3348</xdr:rowOff>
    </xdr:from>
    <xdr:to>
      <xdr:col>3</xdr:col>
      <xdr:colOff>1245966</xdr:colOff>
      <xdr:row>8</xdr:row>
      <xdr:rowOff>300</xdr:rowOff>
    </xdr:to>
    <xdr:sp macro="" textlink="">
      <xdr:nvSpPr>
        <xdr:cNvPr id="7" name="Label_Score_Ones"/>
        <xdr:cNvSpPr txBox="1"/>
      </xdr:nvSpPr>
      <xdr:spPr>
        <a:xfrm>
          <a:off x="1678782" y="1327323"/>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Count and Add</a:t>
          </a:r>
        </a:p>
        <a:p>
          <a:pPr algn="ctr">
            <a:lnSpc>
              <a:spcPct val="75000"/>
            </a:lnSpc>
          </a:pPr>
          <a:r>
            <a:rPr lang="en-US" sz="1100" b="1"/>
            <a:t>Only Aces</a:t>
          </a:r>
        </a:p>
      </xdr:txBody>
    </xdr:sp>
    <xdr:clientData/>
  </xdr:twoCellAnchor>
  <xdr:twoCellAnchor editAs="oneCell">
    <xdr:from>
      <xdr:col>1</xdr:col>
      <xdr:colOff>726282</xdr:colOff>
      <xdr:row>7</xdr:row>
      <xdr:rowOff>30956</xdr:rowOff>
    </xdr:from>
    <xdr:to>
      <xdr:col>2</xdr:col>
      <xdr:colOff>11145</xdr:colOff>
      <xdr:row>7</xdr:row>
      <xdr:rowOff>277844</xdr:rowOff>
    </xdr:to>
    <xdr:pic>
      <xdr:nvPicPr>
        <xdr:cNvPr id="13" name="Image_Die_One"/>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907" y="1354931"/>
          <a:ext cx="246888" cy="246888"/>
        </a:xfrm>
        <a:prstGeom prst="rect">
          <a:avLst/>
        </a:prstGeom>
        <a:effectLst>
          <a:outerShdw blurRad="12700" sx="102000" sy="102000" algn="ctr" rotWithShape="0">
            <a:prstClr val="black">
              <a:alpha val="50000"/>
            </a:prstClr>
          </a:outerShdw>
        </a:effectLst>
      </xdr:spPr>
    </xdr:pic>
    <xdr:clientData/>
  </xdr:twoCellAnchor>
  <xdr:twoCellAnchor>
    <xdr:from>
      <xdr:col>19</xdr:col>
      <xdr:colOff>2381</xdr:colOff>
      <xdr:row>6</xdr:row>
      <xdr:rowOff>11907</xdr:rowOff>
    </xdr:from>
    <xdr:to>
      <xdr:col>21</xdr:col>
      <xdr:colOff>196691</xdr:colOff>
      <xdr:row>7</xdr:row>
      <xdr:rowOff>8859</xdr:rowOff>
    </xdr:to>
    <xdr:sp macro="" textlink="">
      <xdr:nvSpPr>
        <xdr:cNvPr id="51" name="Label_Header_Game_6"/>
        <xdr:cNvSpPr txBox="1"/>
      </xdr:nvSpPr>
      <xdr:spPr>
        <a:xfrm>
          <a:off x="5926931"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#6</a:t>
          </a:r>
        </a:p>
      </xdr:txBody>
    </xdr:sp>
    <xdr:clientData/>
  </xdr:twoCellAnchor>
  <xdr:twoCellAnchor>
    <xdr:from>
      <xdr:col>16</xdr:col>
      <xdr:colOff>3403</xdr:colOff>
      <xdr:row>6</xdr:row>
      <xdr:rowOff>11907</xdr:rowOff>
    </xdr:from>
    <xdr:to>
      <xdr:col>18</xdr:col>
      <xdr:colOff>197713</xdr:colOff>
      <xdr:row>7</xdr:row>
      <xdr:rowOff>8859</xdr:rowOff>
    </xdr:to>
    <xdr:sp macro="" textlink="">
      <xdr:nvSpPr>
        <xdr:cNvPr id="50" name="Label_Header_Game_5"/>
        <xdr:cNvSpPr txBox="1"/>
      </xdr:nvSpPr>
      <xdr:spPr>
        <a:xfrm>
          <a:off x="5327878"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#5</a:t>
          </a:r>
        </a:p>
      </xdr:txBody>
    </xdr:sp>
    <xdr:clientData/>
  </xdr:twoCellAnchor>
  <xdr:twoCellAnchor>
    <xdr:from>
      <xdr:col>13</xdr:col>
      <xdr:colOff>2042</xdr:colOff>
      <xdr:row>6</xdr:row>
      <xdr:rowOff>11907</xdr:rowOff>
    </xdr:from>
    <xdr:to>
      <xdr:col>15</xdr:col>
      <xdr:colOff>196352</xdr:colOff>
      <xdr:row>7</xdr:row>
      <xdr:rowOff>8859</xdr:rowOff>
    </xdr:to>
    <xdr:sp macro="" textlink="">
      <xdr:nvSpPr>
        <xdr:cNvPr id="49" name="Label_Header_Game_4"/>
        <xdr:cNvSpPr txBox="1"/>
      </xdr:nvSpPr>
      <xdr:spPr>
        <a:xfrm>
          <a:off x="4726442"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#4</a:t>
          </a:r>
        </a:p>
      </xdr:txBody>
    </xdr:sp>
    <xdr:clientData/>
  </xdr:twoCellAnchor>
  <xdr:twoCellAnchor>
    <xdr:from>
      <xdr:col>10</xdr:col>
      <xdr:colOff>3062</xdr:colOff>
      <xdr:row>6</xdr:row>
      <xdr:rowOff>11907</xdr:rowOff>
    </xdr:from>
    <xdr:to>
      <xdr:col>12</xdr:col>
      <xdr:colOff>197372</xdr:colOff>
      <xdr:row>7</xdr:row>
      <xdr:rowOff>8859</xdr:rowOff>
    </xdr:to>
    <xdr:sp macro="" textlink="">
      <xdr:nvSpPr>
        <xdr:cNvPr id="48" name="Label_Header_Game_3"/>
        <xdr:cNvSpPr txBox="1"/>
      </xdr:nvSpPr>
      <xdr:spPr>
        <a:xfrm>
          <a:off x="4127387"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#3</a:t>
          </a:r>
        </a:p>
      </xdr:txBody>
    </xdr:sp>
    <xdr:clientData/>
  </xdr:twoCellAnchor>
  <xdr:twoCellAnchor>
    <xdr:from>
      <xdr:col>7</xdr:col>
      <xdr:colOff>1701</xdr:colOff>
      <xdr:row>6</xdr:row>
      <xdr:rowOff>11907</xdr:rowOff>
    </xdr:from>
    <xdr:to>
      <xdr:col>9</xdr:col>
      <xdr:colOff>196011</xdr:colOff>
      <xdr:row>7</xdr:row>
      <xdr:rowOff>8859</xdr:rowOff>
    </xdr:to>
    <xdr:sp macro="" textlink="">
      <xdr:nvSpPr>
        <xdr:cNvPr id="47" name="Label_Header_Game_2"/>
        <xdr:cNvSpPr txBox="1"/>
      </xdr:nvSpPr>
      <xdr:spPr>
        <a:xfrm>
          <a:off x="3525951"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#2</a:t>
          </a:r>
        </a:p>
      </xdr:txBody>
    </xdr:sp>
    <xdr:clientData/>
  </xdr:twoCellAnchor>
  <xdr:twoCellAnchor>
    <xdr:from>
      <xdr:col>4</xdr:col>
      <xdr:colOff>2721</xdr:colOff>
      <xdr:row>6</xdr:row>
      <xdr:rowOff>11907</xdr:rowOff>
    </xdr:from>
    <xdr:to>
      <xdr:col>6</xdr:col>
      <xdr:colOff>197031</xdr:colOff>
      <xdr:row>7</xdr:row>
      <xdr:rowOff>8859</xdr:rowOff>
    </xdr:to>
    <xdr:sp macro="" textlink="">
      <xdr:nvSpPr>
        <xdr:cNvPr id="5" name="Label_Header_Game_1"/>
        <xdr:cNvSpPr txBox="1"/>
      </xdr:nvSpPr>
      <xdr:spPr>
        <a:xfrm>
          <a:off x="2926896" y="1031082"/>
          <a:ext cx="594360"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GAME</a:t>
          </a:r>
          <a:br>
            <a:rPr lang="en-US" sz="1100" b="1"/>
          </a:br>
          <a:r>
            <a:rPr lang="en-US" sz="1100" b="1"/>
            <a:t>#1</a:t>
          </a:r>
        </a:p>
      </xdr:txBody>
    </xdr:sp>
    <xdr:clientData/>
  </xdr:twoCellAnchor>
  <xdr:twoCellAnchor>
    <xdr:from>
      <xdr:col>3</xdr:col>
      <xdr:colOff>3402</xdr:colOff>
      <xdr:row>6</xdr:row>
      <xdr:rowOff>11565</xdr:rowOff>
    </xdr:from>
    <xdr:to>
      <xdr:col>3</xdr:col>
      <xdr:colOff>1246986</xdr:colOff>
      <xdr:row>7</xdr:row>
      <xdr:rowOff>8517</xdr:rowOff>
    </xdr:to>
    <xdr:sp macro="" textlink="">
      <xdr:nvSpPr>
        <xdr:cNvPr id="4" name="Label_Header_How_To_Score"/>
        <xdr:cNvSpPr txBox="1"/>
      </xdr:nvSpPr>
      <xdr:spPr>
        <a:xfrm>
          <a:off x="1679802" y="1030740"/>
          <a:ext cx="1243584" cy="30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lstStyle/>
        <a:p>
          <a:pPr algn="ctr">
            <a:lnSpc>
              <a:spcPct val="75000"/>
            </a:lnSpc>
          </a:pPr>
          <a:r>
            <a:rPr lang="en-US" sz="1100" b="1"/>
            <a:t>HOW</a:t>
          </a:r>
          <a:br>
            <a:rPr lang="en-US" sz="1100" b="1"/>
          </a:br>
          <a:r>
            <a:rPr lang="en-US" sz="1100" b="1"/>
            <a:t>TO </a:t>
          </a:r>
          <a:r>
            <a:rPr lang="en-US" sz="1100" b="1" baseline="0"/>
            <a:t>SCORE</a:t>
          </a:r>
        </a:p>
      </xdr:txBody>
    </xdr:sp>
    <xdr:clientData/>
  </xdr:twoCellAnchor>
  <xdr:twoCellAnchor>
    <xdr:from>
      <xdr:col>5</xdr:col>
      <xdr:colOff>188118</xdr:colOff>
      <xdr:row>3</xdr:row>
      <xdr:rowOff>130969</xdr:rowOff>
    </xdr:from>
    <xdr:to>
      <xdr:col>6</xdr:col>
      <xdr:colOff>192880</xdr:colOff>
      <xdr:row>4</xdr:row>
      <xdr:rowOff>152400</xdr:rowOff>
    </xdr:to>
    <xdr:sp macro="" textlink="">
      <xdr:nvSpPr>
        <xdr:cNvPr id="58" name="Label_Registered_Trademark_Logo"/>
        <xdr:cNvSpPr txBox="1"/>
      </xdr:nvSpPr>
      <xdr:spPr>
        <a:xfrm>
          <a:off x="3312318" y="721519"/>
          <a:ext cx="204787" cy="211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2000" b="0"/>
            <a:t>®</a:t>
          </a:r>
        </a:p>
      </xdr:txBody>
    </xdr:sp>
    <xdr:clientData/>
  </xdr:twoCellAnchor>
  <xdr:oneCellAnchor>
    <xdr:from>
      <xdr:col>3</xdr:col>
      <xdr:colOff>533400</xdr:colOff>
      <xdr:row>0</xdr:row>
      <xdr:rowOff>47625</xdr:rowOff>
    </xdr:from>
    <xdr:ext cx="730200" cy="266700"/>
    <xdr:sp macro="" textlink="">
      <xdr:nvSpPr>
        <xdr:cNvPr id="19" name="Label_Super"/>
        <xdr:cNvSpPr txBox="1"/>
      </xdr:nvSpPr>
      <xdr:spPr>
        <a:xfrm>
          <a:off x="2209800" y="47625"/>
          <a:ext cx="7302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ctr"/>
          <a:r>
            <a:rPr lang="en-US" sz="1800" b="1" i="1"/>
            <a:t>Super</a:t>
          </a:r>
        </a:p>
      </xdr:txBody>
    </xdr:sp>
    <xdr:clientData/>
  </xdr:oneCellAnchor>
  <xdr:twoCellAnchor editAs="oneCell">
    <xdr:from>
      <xdr:col>1</xdr:col>
      <xdr:colOff>0</xdr:colOff>
      <xdr:row>0</xdr:row>
      <xdr:rowOff>47625</xdr:rowOff>
    </xdr:from>
    <xdr:to>
      <xdr:col>6</xdr:col>
      <xdr:colOff>157703</xdr:colOff>
      <xdr:row>4</xdr:row>
      <xdr:rowOff>152400</xdr:rowOff>
    </xdr:to>
    <xdr:pic>
      <xdr:nvPicPr>
        <xdr:cNvPr id="2" name="Image_Yahtzee_Logo"/>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7625" y="47625"/>
          <a:ext cx="3434303" cy="885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perYahtzeeClass"/>
  <dimension ref="A1:AQ58"/>
  <sheetViews>
    <sheetView tabSelected="1" zoomScaleNormal="100" workbookViewId="0">
      <selection activeCell="K3" sqref="K3:V4"/>
    </sheetView>
  </sheetViews>
  <sheetFormatPr defaultRowHeight="15" x14ac:dyDescent="0.25"/>
  <cols>
    <col min="1" max="1" width="0.7109375" style="6" customWidth="1"/>
    <col min="2" max="2" width="14.42578125" style="6" customWidth="1"/>
    <col min="3" max="3" width="10" style="32" customWidth="1"/>
    <col min="4" max="4" width="18.7109375" style="31" customWidth="1"/>
    <col min="5" max="22" width="3" style="6" customWidth="1"/>
    <col min="23" max="23" width="0.7109375" style="6" customWidth="1"/>
    <col min="24" max="16384" width="9.140625" style="6"/>
  </cols>
  <sheetData>
    <row r="1" spans="1:43" ht="16.5" customHeight="1" x14ac:dyDescent="0.25">
      <c r="A1" s="1"/>
      <c r="B1" s="2"/>
      <c r="C1" s="3"/>
      <c r="D1" s="4"/>
      <c r="E1" s="58"/>
      <c r="F1" s="58"/>
      <c r="G1" s="58"/>
      <c r="H1" s="58"/>
      <c r="I1" s="58"/>
      <c r="J1" s="58"/>
      <c r="K1" s="58"/>
      <c r="L1" s="58"/>
      <c r="M1" s="58"/>
      <c r="N1" s="58"/>
      <c r="O1" s="58"/>
      <c r="P1" s="58"/>
      <c r="Q1" s="58"/>
      <c r="R1" s="58"/>
      <c r="S1" s="58"/>
      <c r="T1" s="58"/>
      <c r="U1" s="58"/>
      <c r="V1" s="58"/>
      <c r="W1" s="2"/>
      <c r="X1" s="5"/>
      <c r="Y1" s="42" t="s">
        <v>28</v>
      </c>
      <c r="Z1" s="75" t="s">
        <v>29</v>
      </c>
      <c r="AA1" s="75"/>
      <c r="AB1" s="75"/>
      <c r="AC1" s="75"/>
      <c r="AD1" s="75"/>
      <c r="AE1" s="41"/>
      <c r="AF1" s="41"/>
      <c r="AG1" s="41"/>
    </row>
    <row r="2" spans="1:43" x14ac:dyDescent="0.25">
      <c r="A2" s="1"/>
      <c r="B2" s="2"/>
      <c r="C2" s="3"/>
      <c r="D2" s="7"/>
      <c r="E2" s="58"/>
      <c r="F2" s="58"/>
      <c r="G2" s="58"/>
      <c r="H2" s="58"/>
      <c r="I2" s="58"/>
      <c r="J2" s="58"/>
      <c r="K2" s="58"/>
      <c r="L2" s="58"/>
      <c r="M2" s="58"/>
      <c r="N2" s="58"/>
      <c r="O2" s="58"/>
      <c r="P2" s="58"/>
      <c r="Q2" s="58"/>
      <c r="R2" s="58"/>
      <c r="S2" s="58"/>
      <c r="T2" s="58"/>
      <c r="U2" s="58"/>
      <c r="V2" s="58"/>
      <c r="W2" s="2"/>
      <c r="X2" s="5"/>
      <c r="Y2" s="5"/>
      <c r="Z2" s="75"/>
      <c r="AA2" s="75"/>
      <c r="AB2" s="75"/>
      <c r="AC2" s="75"/>
      <c r="AD2" s="75"/>
      <c r="AE2" s="41"/>
      <c r="AF2" s="41"/>
      <c r="AG2" s="41"/>
    </row>
    <row r="3" spans="1:43" x14ac:dyDescent="0.25">
      <c r="A3" s="1"/>
      <c r="B3" s="2"/>
      <c r="C3" s="3"/>
      <c r="D3" s="7"/>
      <c r="E3" s="58"/>
      <c r="F3" s="58"/>
      <c r="G3" s="58"/>
      <c r="H3" s="58"/>
      <c r="I3" s="58"/>
      <c r="J3" s="58"/>
      <c r="K3" s="60"/>
      <c r="L3" s="61"/>
      <c r="M3" s="61"/>
      <c r="N3" s="61"/>
      <c r="O3" s="61"/>
      <c r="P3" s="61"/>
      <c r="Q3" s="61"/>
      <c r="R3" s="61"/>
      <c r="S3" s="61"/>
      <c r="T3" s="61"/>
      <c r="U3" s="61"/>
      <c r="V3" s="61"/>
      <c r="W3" s="2"/>
      <c r="X3" s="5"/>
      <c r="Y3" s="5"/>
      <c r="Z3" s="75"/>
      <c r="AA3" s="75"/>
      <c r="AB3" s="75"/>
      <c r="AC3" s="75"/>
      <c r="AD3" s="75"/>
      <c r="AE3" s="41"/>
      <c r="AF3" s="41"/>
      <c r="AG3" s="41"/>
    </row>
    <row r="4" spans="1:43" x14ac:dyDescent="0.25">
      <c r="A4" s="1"/>
      <c r="B4" s="2"/>
      <c r="C4" s="3"/>
      <c r="D4" s="7"/>
      <c r="E4" s="58"/>
      <c r="F4" s="58"/>
      <c r="G4" s="58"/>
      <c r="H4" s="63" t="s">
        <v>0</v>
      </c>
      <c r="I4" s="63"/>
      <c r="J4" s="63"/>
      <c r="K4" s="62"/>
      <c r="L4" s="62"/>
      <c r="M4" s="62"/>
      <c r="N4" s="62"/>
      <c r="O4" s="62"/>
      <c r="P4" s="62"/>
      <c r="Q4" s="62"/>
      <c r="R4" s="62"/>
      <c r="S4" s="62"/>
      <c r="T4" s="62"/>
      <c r="U4" s="62"/>
      <c r="V4" s="62"/>
      <c r="W4" s="2"/>
      <c r="X4" s="5"/>
      <c r="Y4" s="5"/>
      <c r="Z4" s="75"/>
      <c r="AA4" s="75"/>
      <c r="AB4" s="75"/>
      <c r="AC4" s="75"/>
      <c r="AD4" s="75"/>
      <c r="AE4" s="41"/>
      <c r="AF4" s="41"/>
      <c r="AG4" s="41"/>
    </row>
    <row r="5" spans="1:43" x14ac:dyDescent="0.25">
      <c r="A5" s="1"/>
      <c r="B5" s="2"/>
      <c r="C5" s="3"/>
      <c r="D5" s="7"/>
      <c r="E5" s="59"/>
      <c r="F5" s="59"/>
      <c r="G5" s="59"/>
      <c r="H5" s="59"/>
      <c r="I5" s="59"/>
      <c r="J5" s="59"/>
      <c r="K5" s="57"/>
      <c r="L5" s="57"/>
      <c r="M5" s="57"/>
      <c r="N5" s="57"/>
      <c r="O5" s="57"/>
      <c r="P5" s="57"/>
      <c r="Q5" s="57"/>
      <c r="R5" s="57"/>
      <c r="S5" s="57"/>
      <c r="T5" s="57"/>
      <c r="U5" s="57"/>
      <c r="V5" s="57"/>
      <c r="W5" s="2"/>
      <c r="X5" s="5"/>
      <c r="Y5" s="5"/>
      <c r="Z5" s="75" t="s">
        <v>30</v>
      </c>
      <c r="AA5" s="75"/>
      <c r="AB5" s="75"/>
      <c r="AC5" s="75"/>
      <c r="AD5" s="75"/>
      <c r="AE5" s="41"/>
    </row>
    <row r="6" spans="1:43" ht="3.75" customHeight="1" x14ac:dyDescent="0.25">
      <c r="A6" s="8"/>
      <c r="B6" s="9"/>
      <c r="C6" s="10"/>
      <c r="D6" s="11"/>
      <c r="E6" s="57"/>
      <c r="F6" s="57"/>
      <c r="G6" s="57"/>
      <c r="H6" s="57"/>
      <c r="I6" s="57"/>
      <c r="J6" s="57"/>
      <c r="K6" s="57"/>
      <c r="L6" s="57"/>
      <c r="M6" s="57"/>
      <c r="N6" s="57"/>
      <c r="O6" s="57"/>
      <c r="P6" s="57"/>
      <c r="Q6" s="57"/>
      <c r="R6" s="57"/>
      <c r="S6" s="57"/>
      <c r="T6" s="57"/>
      <c r="U6" s="57"/>
      <c r="V6" s="57"/>
      <c r="W6" s="12"/>
      <c r="X6" s="5"/>
      <c r="Y6" s="5"/>
      <c r="Z6" s="5"/>
    </row>
    <row r="7" spans="1:43" ht="24.6" customHeight="1" x14ac:dyDescent="0.25">
      <c r="A7" s="13"/>
      <c r="B7" s="64" t="s">
        <v>1</v>
      </c>
      <c r="C7" s="65"/>
      <c r="D7" s="49"/>
      <c r="E7" s="71"/>
      <c r="F7" s="72"/>
      <c r="G7" s="73"/>
      <c r="H7" s="71"/>
      <c r="I7" s="72"/>
      <c r="J7" s="73"/>
      <c r="K7" s="71"/>
      <c r="L7" s="72"/>
      <c r="M7" s="73"/>
      <c r="N7" s="71"/>
      <c r="O7" s="72"/>
      <c r="P7" s="73"/>
      <c r="Q7" s="71"/>
      <c r="R7" s="72"/>
      <c r="S7" s="73"/>
      <c r="T7" s="71"/>
      <c r="U7" s="72"/>
      <c r="V7" s="73"/>
      <c r="W7" s="15"/>
      <c r="X7" s="33"/>
      <c r="Y7" s="33" t="s">
        <v>43</v>
      </c>
      <c r="Z7" s="33"/>
      <c r="AA7" s="34"/>
      <c r="AB7" s="34"/>
      <c r="AC7" s="34"/>
      <c r="AD7" s="34"/>
      <c r="AE7" s="16"/>
      <c r="AF7" s="16"/>
      <c r="AG7" s="16"/>
      <c r="AH7" s="16"/>
      <c r="AI7" s="16"/>
      <c r="AJ7" s="16"/>
      <c r="AK7" s="16"/>
      <c r="AL7" s="16"/>
      <c r="AM7" s="16"/>
      <c r="AN7" s="16"/>
      <c r="AO7" s="16"/>
      <c r="AP7" s="16"/>
      <c r="AQ7" s="16"/>
    </row>
    <row r="8" spans="1:43" ht="24.6" customHeight="1" x14ac:dyDescent="0.25">
      <c r="A8" s="13"/>
      <c r="B8" s="44" t="s">
        <v>27</v>
      </c>
      <c r="C8" s="47" t="s">
        <v>21</v>
      </c>
      <c r="D8" s="14"/>
      <c r="E8" s="51"/>
      <c r="F8" s="52"/>
      <c r="G8" s="53"/>
      <c r="H8" s="51"/>
      <c r="I8" s="52"/>
      <c r="J8" s="53"/>
      <c r="K8" s="51"/>
      <c r="L8" s="52"/>
      <c r="M8" s="53"/>
      <c r="N8" s="51"/>
      <c r="O8" s="52"/>
      <c r="P8" s="53"/>
      <c r="Q8" s="51"/>
      <c r="R8" s="52"/>
      <c r="S8" s="53"/>
      <c r="T8" s="51"/>
      <c r="U8" s="52"/>
      <c r="V8" s="53"/>
      <c r="W8" s="15"/>
      <c r="X8" s="33">
        <v>0</v>
      </c>
      <c r="Y8" s="33">
        <v>1</v>
      </c>
      <c r="Z8" s="35">
        <v>2</v>
      </c>
      <c r="AA8" s="34">
        <v>3</v>
      </c>
      <c r="AB8" s="36">
        <v>4</v>
      </c>
      <c r="AC8" s="36">
        <v>5</v>
      </c>
      <c r="AD8" s="36">
        <v>6</v>
      </c>
      <c r="AE8" s="16"/>
      <c r="AF8" s="16"/>
      <c r="AG8" s="16"/>
      <c r="AH8" s="16"/>
      <c r="AI8" s="16"/>
      <c r="AJ8" s="16"/>
      <c r="AK8" s="16"/>
      <c r="AL8" s="16"/>
      <c r="AM8" s="16"/>
      <c r="AN8" s="16"/>
      <c r="AO8" s="16"/>
      <c r="AP8" s="16"/>
      <c r="AQ8" s="16"/>
    </row>
    <row r="9" spans="1:43" ht="24.6" customHeight="1" x14ac:dyDescent="0.25">
      <c r="A9" s="13"/>
      <c r="B9" s="44" t="s">
        <v>2</v>
      </c>
      <c r="C9" s="47" t="s">
        <v>22</v>
      </c>
      <c r="D9" s="14"/>
      <c r="E9" s="51"/>
      <c r="F9" s="52"/>
      <c r="G9" s="53"/>
      <c r="H9" s="51"/>
      <c r="I9" s="52"/>
      <c r="J9" s="53"/>
      <c r="K9" s="51"/>
      <c r="L9" s="52"/>
      <c r="M9" s="53"/>
      <c r="N9" s="51"/>
      <c r="O9" s="52"/>
      <c r="P9" s="53"/>
      <c r="Q9" s="51"/>
      <c r="R9" s="52"/>
      <c r="S9" s="53"/>
      <c r="T9" s="51"/>
      <c r="U9" s="52"/>
      <c r="V9" s="53"/>
      <c r="W9" s="15"/>
      <c r="X9" s="33">
        <v>0</v>
      </c>
      <c r="Y9" s="33">
        <v>2</v>
      </c>
      <c r="Z9" s="35">
        <v>4</v>
      </c>
      <c r="AA9" s="34">
        <v>6</v>
      </c>
      <c r="AB9" s="36">
        <v>8</v>
      </c>
      <c r="AC9" s="36">
        <v>10</v>
      </c>
      <c r="AD9" s="36">
        <v>12</v>
      </c>
      <c r="AE9" s="16"/>
      <c r="AF9" s="16"/>
      <c r="AG9" s="16"/>
      <c r="AH9" s="16"/>
      <c r="AI9" s="16"/>
      <c r="AJ9" s="16"/>
      <c r="AK9" s="16"/>
      <c r="AL9" s="16"/>
      <c r="AM9" s="16"/>
      <c r="AN9" s="16"/>
      <c r="AO9" s="16"/>
      <c r="AP9" s="16"/>
      <c r="AQ9" s="16"/>
    </row>
    <row r="10" spans="1:43" ht="24.6" customHeight="1" x14ac:dyDescent="0.25">
      <c r="A10" s="13"/>
      <c r="B10" s="44" t="s">
        <v>3</v>
      </c>
      <c r="C10" s="47" t="s">
        <v>23</v>
      </c>
      <c r="D10" s="14"/>
      <c r="E10" s="51"/>
      <c r="F10" s="52"/>
      <c r="G10" s="53"/>
      <c r="H10" s="51"/>
      <c r="I10" s="52"/>
      <c r="J10" s="53"/>
      <c r="K10" s="51"/>
      <c r="L10" s="52"/>
      <c r="M10" s="53"/>
      <c r="N10" s="51"/>
      <c r="O10" s="52"/>
      <c r="P10" s="53"/>
      <c r="Q10" s="51"/>
      <c r="R10" s="52"/>
      <c r="S10" s="53"/>
      <c r="T10" s="51"/>
      <c r="U10" s="52"/>
      <c r="V10" s="53"/>
      <c r="W10" s="15"/>
      <c r="X10" s="33">
        <v>0</v>
      </c>
      <c r="Y10" s="33">
        <v>3</v>
      </c>
      <c r="Z10" s="33">
        <v>6</v>
      </c>
      <c r="AA10" s="37">
        <v>9</v>
      </c>
      <c r="AB10" s="37">
        <v>12</v>
      </c>
      <c r="AC10" s="37">
        <v>15</v>
      </c>
      <c r="AD10" s="37">
        <v>18</v>
      </c>
      <c r="AE10" s="16"/>
      <c r="AF10" s="16"/>
      <c r="AG10" s="16"/>
      <c r="AH10" s="16"/>
      <c r="AI10" s="16"/>
      <c r="AJ10" s="16"/>
      <c r="AK10" s="16"/>
      <c r="AL10" s="16"/>
      <c r="AM10" s="16"/>
      <c r="AN10" s="16"/>
      <c r="AO10" s="16"/>
      <c r="AP10" s="16"/>
      <c r="AQ10" s="16"/>
    </row>
    <row r="11" spans="1:43" ht="24.6" customHeight="1" x14ac:dyDescent="0.25">
      <c r="A11" s="13"/>
      <c r="B11" s="44" t="s">
        <v>4</v>
      </c>
      <c r="C11" s="47" t="s">
        <v>24</v>
      </c>
      <c r="D11" s="14"/>
      <c r="E11" s="51"/>
      <c r="F11" s="52"/>
      <c r="G11" s="53"/>
      <c r="H11" s="51"/>
      <c r="I11" s="52"/>
      <c r="J11" s="53"/>
      <c r="K11" s="51"/>
      <c r="L11" s="52"/>
      <c r="M11" s="53"/>
      <c r="N11" s="51"/>
      <c r="O11" s="52"/>
      <c r="P11" s="53"/>
      <c r="Q11" s="51"/>
      <c r="R11" s="52"/>
      <c r="S11" s="53"/>
      <c r="T11" s="51"/>
      <c r="U11" s="52"/>
      <c r="V11" s="53"/>
      <c r="W11" s="15"/>
      <c r="X11" s="37">
        <v>0</v>
      </c>
      <c r="Y11" s="37">
        <v>4</v>
      </c>
      <c r="Z11" s="37">
        <v>8</v>
      </c>
      <c r="AA11" s="37">
        <v>12</v>
      </c>
      <c r="AB11" s="37">
        <v>16</v>
      </c>
      <c r="AC11" s="37">
        <v>20</v>
      </c>
      <c r="AD11" s="37">
        <v>24</v>
      </c>
      <c r="AE11" s="16"/>
      <c r="AF11" s="16"/>
      <c r="AH11" s="16"/>
      <c r="AI11" s="16"/>
      <c r="AJ11" s="16"/>
      <c r="AK11" s="16"/>
      <c r="AL11" s="16"/>
      <c r="AM11" s="16"/>
      <c r="AN11" s="16"/>
      <c r="AO11" s="16"/>
      <c r="AP11" s="16"/>
      <c r="AQ11" s="16"/>
    </row>
    <row r="12" spans="1:43" ht="24.6" customHeight="1" x14ac:dyDescent="0.25">
      <c r="A12" s="13"/>
      <c r="B12" s="44" t="s">
        <v>5</v>
      </c>
      <c r="C12" s="47" t="s">
        <v>25</v>
      </c>
      <c r="D12" s="14"/>
      <c r="E12" s="51"/>
      <c r="F12" s="52"/>
      <c r="G12" s="53"/>
      <c r="H12" s="51"/>
      <c r="I12" s="52"/>
      <c r="J12" s="53"/>
      <c r="K12" s="51"/>
      <c r="L12" s="52"/>
      <c r="M12" s="53"/>
      <c r="N12" s="51"/>
      <c r="O12" s="52"/>
      <c r="P12" s="53"/>
      <c r="Q12" s="51"/>
      <c r="R12" s="52"/>
      <c r="S12" s="53"/>
      <c r="T12" s="51"/>
      <c r="U12" s="52"/>
      <c r="V12" s="53"/>
      <c r="W12" s="15"/>
      <c r="X12" s="37">
        <v>0</v>
      </c>
      <c r="Y12" s="37">
        <v>5</v>
      </c>
      <c r="Z12" s="37">
        <v>10</v>
      </c>
      <c r="AA12" s="37">
        <v>15</v>
      </c>
      <c r="AB12" s="37">
        <v>20</v>
      </c>
      <c r="AC12" s="37">
        <v>25</v>
      </c>
      <c r="AD12" s="37">
        <v>30</v>
      </c>
      <c r="AE12" s="16"/>
      <c r="AF12" s="16"/>
      <c r="AG12" s="16"/>
      <c r="AH12" s="16"/>
      <c r="AI12" s="16"/>
      <c r="AJ12" s="16"/>
      <c r="AK12" s="16"/>
      <c r="AL12" s="16"/>
      <c r="AM12" s="16"/>
      <c r="AN12" s="16"/>
      <c r="AO12" s="16"/>
      <c r="AP12" s="16"/>
      <c r="AQ12" s="16"/>
    </row>
    <row r="13" spans="1:43" ht="24.6" customHeight="1" x14ac:dyDescent="0.25">
      <c r="A13" s="13"/>
      <c r="B13" s="44" t="s">
        <v>6</v>
      </c>
      <c r="C13" s="47" t="s">
        <v>26</v>
      </c>
      <c r="D13" s="14"/>
      <c r="E13" s="51"/>
      <c r="F13" s="52"/>
      <c r="G13" s="53"/>
      <c r="H13" s="51"/>
      <c r="I13" s="52"/>
      <c r="J13" s="53"/>
      <c r="K13" s="51"/>
      <c r="L13" s="52"/>
      <c r="M13" s="53"/>
      <c r="N13" s="51"/>
      <c r="O13" s="52"/>
      <c r="P13" s="53"/>
      <c r="Q13" s="51"/>
      <c r="R13" s="52"/>
      <c r="S13" s="53"/>
      <c r="T13" s="51"/>
      <c r="U13" s="52"/>
      <c r="V13" s="53"/>
      <c r="W13" s="15"/>
      <c r="X13" s="37">
        <v>0</v>
      </c>
      <c r="Y13" s="37">
        <v>6</v>
      </c>
      <c r="Z13" s="37">
        <v>12</v>
      </c>
      <c r="AA13" s="37">
        <v>18</v>
      </c>
      <c r="AB13" s="37">
        <v>24</v>
      </c>
      <c r="AC13" s="37">
        <v>30</v>
      </c>
      <c r="AD13" s="37">
        <v>36</v>
      </c>
      <c r="AE13" s="16"/>
      <c r="AF13" s="16"/>
      <c r="AG13" s="16"/>
      <c r="AH13" s="16"/>
      <c r="AI13" s="16"/>
      <c r="AJ13" s="16"/>
      <c r="AK13" s="16"/>
      <c r="AL13" s="16"/>
      <c r="AM13" s="16"/>
      <c r="AN13" s="16"/>
      <c r="AO13" s="16"/>
      <c r="AP13" s="16"/>
      <c r="AQ13" s="16"/>
    </row>
    <row r="14" spans="1:43" ht="24.6" customHeight="1" x14ac:dyDescent="0.25">
      <c r="A14" s="13"/>
      <c r="B14" s="64" t="s">
        <v>7</v>
      </c>
      <c r="C14" s="65"/>
      <c r="D14" s="17"/>
      <c r="E14" s="54" t="str">
        <f>IF(SUM(E8:E13)&gt;0,SUM(E8:E13),"")</f>
        <v/>
      </c>
      <c r="F14" s="55"/>
      <c r="G14" s="56"/>
      <c r="H14" s="54" t="str">
        <f>IF(SUM(H8:H13)&gt;0,SUM(H8:H13),"")</f>
        <v/>
      </c>
      <c r="I14" s="55"/>
      <c r="J14" s="56"/>
      <c r="K14" s="54" t="str">
        <f>IF(SUM(K8:K13)&gt;0,SUM(K8:K13),"")</f>
        <v/>
      </c>
      <c r="L14" s="55"/>
      <c r="M14" s="56"/>
      <c r="N14" s="54" t="str">
        <f>IF(SUM(N8:N13)&gt;0,SUM(N8:N13),"")</f>
        <v/>
      </c>
      <c r="O14" s="55"/>
      <c r="P14" s="56"/>
      <c r="Q14" s="54" t="str">
        <f>IF(SUM(Q8:Q13)&gt;0,SUM(Q8:Q13),"")</f>
        <v/>
      </c>
      <c r="R14" s="55"/>
      <c r="S14" s="56"/>
      <c r="T14" s="54" t="str">
        <f>IF(SUM(T8:T13)&gt;0,SUM(T8:T13),"")</f>
        <v/>
      </c>
      <c r="U14" s="55"/>
      <c r="V14" s="56"/>
      <c r="W14" s="15"/>
      <c r="X14" s="18"/>
      <c r="Y14" s="5"/>
      <c r="Z14" s="5"/>
    </row>
    <row r="15" spans="1:43" ht="24.6" customHeight="1" x14ac:dyDescent="0.25">
      <c r="A15" s="13"/>
      <c r="B15" s="19" t="s">
        <v>9</v>
      </c>
      <c r="C15" s="20"/>
      <c r="D15" s="48" t="s">
        <v>33</v>
      </c>
      <c r="E15" s="54" t="str">
        <f>IF(AND(ISNUMBER(E14),E14&gt;=84),45,"")</f>
        <v/>
      </c>
      <c r="F15" s="55"/>
      <c r="G15" s="56"/>
      <c r="H15" s="54" t="str">
        <f>IF(AND(ISNUMBER(H14),H14&gt;=84),45,"")</f>
        <v/>
      </c>
      <c r="I15" s="55"/>
      <c r="J15" s="56"/>
      <c r="K15" s="54" t="str">
        <f>IF(AND(ISNUMBER(K14),K14&gt;=84),45,"")</f>
        <v/>
      </c>
      <c r="L15" s="55"/>
      <c r="M15" s="56"/>
      <c r="N15" s="54" t="str">
        <f>IF(AND(ISNUMBER(N14),N14&gt;=84),45,"")</f>
        <v/>
      </c>
      <c r="O15" s="55"/>
      <c r="P15" s="56"/>
      <c r="Q15" s="54" t="str">
        <f>IF(AND(ISNUMBER(Q14),Q14&gt;=84),45,"")</f>
        <v/>
      </c>
      <c r="R15" s="55"/>
      <c r="S15" s="56"/>
      <c r="T15" s="54" t="str">
        <f>IF(AND(ISNUMBER(T14),T14&gt;=84),45,"")</f>
        <v/>
      </c>
      <c r="U15" s="55"/>
      <c r="V15" s="56"/>
      <c r="W15" s="15"/>
      <c r="X15" s="5"/>
      <c r="Y15" s="43" t="s">
        <v>31</v>
      </c>
      <c r="Z15" s="76" t="s">
        <v>46</v>
      </c>
      <c r="AA15" s="76"/>
      <c r="AB15" s="76"/>
      <c r="AC15" s="76"/>
      <c r="AD15" s="76"/>
    </row>
    <row r="16" spans="1:43" ht="24.6" customHeight="1" x14ac:dyDescent="0.25">
      <c r="A16" s="13"/>
      <c r="B16" s="19" t="s">
        <v>8</v>
      </c>
      <c r="C16" s="20"/>
      <c r="D16" s="17"/>
      <c r="E16" s="54" t="str">
        <f>IF(SUM(E14:E15)&gt;0,SUM(E14:E15),"")</f>
        <v/>
      </c>
      <c r="F16" s="55"/>
      <c r="G16" s="56"/>
      <c r="H16" s="54" t="str">
        <f>IF(SUM(H14:H15)&gt;0,SUM(H14:H15),"")</f>
        <v/>
      </c>
      <c r="I16" s="55"/>
      <c r="J16" s="56"/>
      <c r="K16" s="54" t="str">
        <f>IF(SUM(K14:K15)&gt;0,SUM(K14:K15),"")</f>
        <v/>
      </c>
      <c r="L16" s="55"/>
      <c r="M16" s="56"/>
      <c r="N16" s="54" t="str">
        <f>IF(SUM(N14:N15)&gt;0,SUM(N14:N15),"")</f>
        <v/>
      </c>
      <c r="O16" s="55"/>
      <c r="P16" s="56"/>
      <c r="Q16" s="54" t="str">
        <f>IF(SUM(Q14:Q15)&gt;0,SUM(Q14:Q15),"")</f>
        <v/>
      </c>
      <c r="R16" s="55"/>
      <c r="S16" s="56"/>
      <c r="T16" s="54" t="str">
        <f>IF(SUM(T14:T15)&gt;0,SUM(T14:T15),"")</f>
        <v/>
      </c>
      <c r="U16" s="55"/>
      <c r="V16" s="56"/>
      <c r="W16" s="15"/>
      <c r="X16" s="5"/>
      <c r="Y16" s="5"/>
      <c r="Z16" s="76"/>
      <c r="AA16" s="76"/>
      <c r="AB16" s="76"/>
      <c r="AC16" s="76"/>
      <c r="AD16" s="76"/>
    </row>
    <row r="17" spans="1:30" ht="24.6" customHeight="1" x14ac:dyDescent="0.25">
      <c r="A17" s="13"/>
      <c r="B17" s="66" t="s">
        <v>10</v>
      </c>
      <c r="C17" s="66"/>
      <c r="D17" s="80"/>
      <c r="E17" s="80"/>
      <c r="F17" s="80"/>
      <c r="G17" s="80"/>
      <c r="H17" s="80"/>
      <c r="I17" s="80"/>
      <c r="J17" s="80"/>
      <c r="K17" s="80"/>
      <c r="L17" s="80"/>
      <c r="M17" s="80"/>
      <c r="N17" s="80"/>
      <c r="O17" s="80"/>
      <c r="P17" s="80"/>
      <c r="Q17" s="80"/>
      <c r="R17" s="80"/>
      <c r="S17" s="80"/>
      <c r="T17" s="80"/>
      <c r="U17" s="80"/>
      <c r="V17" s="80"/>
      <c r="W17" s="15"/>
      <c r="X17" s="5"/>
      <c r="Z17" s="76"/>
      <c r="AA17" s="76"/>
      <c r="AB17" s="76"/>
      <c r="AC17" s="76"/>
      <c r="AD17" s="76"/>
    </row>
    <row r="18" spans="1:30" ht="24.6" customHeight="1" x14ac:dyDescent="0.25">
      <c r="A18" s="13"/>
      <c r="B18" s="44" t="s">
        <v>11</v>
      </c>
      <c r="C18" s="21"/>
      <c r="D18" s="14"/>
      <c r="E18" s="51"/>
      <c r="F18" s="52"/>
      <c r="G18" s="53"/>
      <c r="H18" s="51"/>
      <c r="I18" s="52"/>
      <c r="J18" s="53"/>
      <c r="K18" s="51"/>
      <c r="L18" s="52"/>
      <c r="M18" s="53"/>
      <c r="N18" s="51"/>
      <c r="O18" s="52"/>
      <c r="P18" s="53"/>
      <c r="Q18" s="51"/>
      <c r="R18" s="52"/>
      <c r="S18" s="53"/>
      <c r="T18" s="51"/>
      <c r="U18" s="52"/>
      <c r="V18" s="53"/>
      <c r="W18" s="15"/>
      <c r="X18" s="5"/>
      <c r="Y18" s="5"/>
      <c r="Z18" s="76"/>
      <c r="AA18" s="76"/>
      <c r="AB18" s="76"/>
      <c r="AC18" s="76"/>
      <c r="AD18" s="76"/>
    </row>
    <row r="19" spans="1:30" ht="24.6" customHeight="1" x14ac:dyDescent="0.25">
      <c r="A19" s="13"/>
      <c r="B19" s="44" t="s">
        <v>12</v>
      </c>
      <c r="C19" s="21"/>
      <c r="D19" s="14"/>
      <c r="E19" s="51"/>
      <c r="F19" s="52"/>
      <c r="G19" s="53"/>
      <c r="H19" s="51"/>
      <c r="I19" s="52"/>
      <c r="J19" s="53"/>
      <c r="K19" s="51"/>
      <c r="L19" s="52"/>
      <c r="M19" s="53"/>
      <c r="N19" s="51"/>
      <c r="O19" s="52"/>
      <c r="P19" s="53"/>
      <c r="Q19" s="51"/>
      <c r="R19" s="52"/>
      <c r="S19" s="53"/>
      <c r="T19" s="51"/>
      <c r="U19" s="52"/>
      <c r="V19" s="53"/>
      <c r="W19" s="15"/>
      <c r="X19" s="5"/>
      <c r="Y19" s="5"/>
      <c r="Z19" s="76"/>
      <c r="AA19" s="76"/>
      <c r="AB19" s="76"/>
      <c r="AC19" s="76"/>
      <c r="AD19" s="76"/>
    </row>
    <row r="20" spans="1:30" ht="24.6" customHeight="1" x14ac:dyDescent="0.25">
      <c r="A20" s="13"/>
      <c r="B20" s="44" t="s">
        <v>13</v>
      </c>
      <c r="C20" s="20"/>
      <c r="D20" s="48" t="s">
        <v>34</v>
      </c>
      <c r="E20" s="51"/>
      <c r="F20" s="52"/>
      <c r="G20" s="53"/>
      <c r="H20" s="51"/>
      <c r="I20" s="52"/>
      <c r="J20" s="53"/>
      <c r="K20" s="51"/>
      <c r="L20" s="52"/>
      <c r="M20" s="53"/>
      <c r="N20" s="51"/>
      <c r="O20" s="52"/>
      <c r="P20" s="53"/>
      <c r="Q20" s="51"/>
      <c r="R20" s="52"/>
      <c r="S20" s="53"/>
      <c r="T20" s="51"/>
      <c r="U20" s="52"/>
      <c r="V20" s="53"/>
      <c r="W20" s="15"/>
      <c r="X20" s="5"/>
      <c r="Y20" s="5"/>
      <c r="Z20" s="76"/>
      <c r="AA20" s="76"/>
      <c r="AB20" s="76"/>
      <c r="AC20" s="76"/>
      <c r="AD20" s="76"/>
    </row>
    <row r="21" spans="1:30" ht="24.6" customHeight="1" x14ac:dyDescent="0.25">
      <c r="A21" s="13"/>
      <c r="B21" s="44" t="s">
        <v>14</v>
      </c>
      <c r="C21" s="21"/>
      <c r="D21" s="48" t="s">
        <v>35</v>
      </c>
      <c r="E21" s="51"/>
      <c r="F21" s="52"/>
      <c r="G21" s="53"/>
      <c r="H21" s="51"/>
      <c r="I21" s="52"/>
      <c r="J21" s="53"/>
      <c r="K21" s="51"/>
      <c r="L21" s="52"/>
      <c r="M21" s="53"/>
      <c r="N21" s="51"/>
      <c r="O21" s="52"/>
      <c r="P21" s="53"/>
      <c r="Q21" s="51"/>
      <c r="R21" s="52"/>
      <c r="S21" s="53"/>
      <c r="T21" s="51"/>
      <c r="U21" s="52"/>
      <c r="V21" s="53"/>
      <c r="W21" s="15"/>
      <c r="X21" s="5"/>
      <c r="Y21" s="5"/>
      <c r="Z21" s="76"/>
      <c r="AA21" s="76"/>
      <c r="AB21" s="76"/>
      <c r="AC21" s="76"/>
      <c r="AD21" s="76"/>
    </row>
    <row r="22" spans="1:30" ht="24.6" customHeight="1" x14ac:dyDescent="0.25">
      <c r="A22" s="13"/>
      <c r="B22" s="46" t="s">
        <v>15</v>
      </c>
      <c r="C22" s="20"/>
      <c r="D22" s="48" t="s">
        <v>36</v>
      </c>
      <c r="E22" s="51"/>
      <c r="F22" s="52"/>
      <c r="G22" s="53"/>
      <c r="H22" s="51"/>
      <c r="I22" s="52"/>
      <c r="J22" s="53"/>
      <c r="K22" s="51"/>
      <c r="L22" s="52"/>
      <c r="M22" s="53"/>
      <c r="N22" s="51"/>
      <c r="O22" s="52"/>
      <c r="P22" s="53"/>
      <c r="Q22" s="51"/>
      <c r="R22" s="52"/>
      <c r="S22" s="53"/>
      <c r="T22" s="51"/>
      <c r="U22" s="52"/>
      <c r="V22" s="53"/>
      <c r="W22" s="15"/>
      <c r="X22" s="5"/>
      <c r="Y22" s="5"/>
      <c r="Z22" s="76"/>
      <c r="AA22" s="76"/>
      <c r="AB22" s="76"/>
      <c r="AC22" s="76"/>
      <c r="AD22" s="76"/>
    </row>
    <row r="23" spans="1:30" ht="24.6" customHeight="1" x14ac:dyDescent="0.25">
      <c r="A23" s="13"/>
      <c r="B23" s="46" t="s">
        <v>16</v>
      </c>
      <c r="C23" s="20"/>
      <c r="D23" s="48" t="s">
        <v>37</v>
      </c>
      <c r="E23" s="51"/>
      <c r="F23" s="52"/>
      <c r="G23" s="53"/>
      <c r="H23" s="51"/>
      <c r="I23" s="52"/>
      <c r="J23" s="53"/>
      <c r="K23" s="51"/>
      <c r="L23" s="52"/>
      <c r="M23" s="53"/>
      <c r="N23" s="51"/>
      <c r="O23" s="52"/>
      <c r="P23" s="53"/>
      <c r="Q23" s="51"/>
      <c r="R23" s="52"/>
      <c r="S23" s="53"/>
      <c r="T23" s="51"/>
      <c r="U23" s="52"/>
      <c r="V23" s="53"/>
      <c r="W23" s="15"/>
      <c r="X23" s="5"/>
      <c r="Y23" s="5"/>
      <c r="Z23" s="76"/>
      <c r="AA23" s="76"/>
      <c r="AB23" s="76"/>
      <c r="AC23" s="76"/>
      <c r="AD23" s="76"/>
    </row>
    <row r="24" spans="1:30" ht="24.6" customHeight="1" x14ac:dyDescent="0.25">
      <c r="A24" s="13"/>
      <c r="B24" s="46"/>
      <c r="C24" s="20"/>
      <c r="D24" s="48" t="s">
        <v>38</v>
      </c>
      <c r="E24" s="51"/>
      <c r="F24" s="52"/>
      <c r="G24" s="53"/>
      <c r="H24" s="51"/>
      <c r="I24" s="52"/>
      <c r="J24" s="53"/>
      <c r="K24" s="51"/>
      <c r="L24" s="52"/>
      <c r="M24" s="53"/>
      <c r="N24" s="51"/>
      <c r="O24" s="52"/>
      <c r="P24" s="53"/>
      <c r="Q24" s="51"/>
      <c r="R24" s="52"/>
      <c r="S24" s="53"/>
      <c r="T24" s="51"/>
      <c r="U24" s="52"/>
      <c r="V24" s="53"/>
      <c r="W24" s="15"/>
      <c r="X24" s="5"/>
      <c r="Y24" s="5"/>
      <c r="Z24" s="76"/>
      <c r="AA24" s="76"/>
      <c r="AB24" s="76"/>
      <c r="AC24" s="76"/>
      <c r="AD24" s="76"/>
    </row>
    <row r="25" spans="1:30" ht="24.6" customHeight="1" x14ac:dyDescent="0.25">
      <c r="A25" s="13"/>
      <c r="B25" s="45" t="s">
        <v>20</v>
      </c>
      <c r="C25" s="20"/>
      <c r="D25" s="48" t="s">
        <v>39</v>
      </c>
      <c r="E25" s="51"/>
      <c r="F25" s="52"/>
      <c r="G25" s="53"/>
      <c r="H25" s="51"/>
      <c r="I25" s="52"/>
      <c r="J25" s="53"/>
      <c r="K25" s="51"/>
      <c r="L25" s="52"/>
      <c r="M25" s="53"/>
      <c r="N25" s="51"/>
      <c r="O25" s="52"/>
      <c r="P25" s="53"/>
      <c r="Q25" s="51"/>
      <c r="R25" s="52"/>
      <c r="S25" s="53"/>
      <c r="T25" s="51"/>
      <c r="U25" s="52"/>
      <c r="V25" s="53"/>
      <c r="W25" s="15"/>
      <c r="X25" s="5"/>
      <c r="Y25" s="5"/>
      <c r="Z25" s="76"/>
      <c r="AA25" s="76"/>
      <c r="AB25" s="76"/>
      <c r="AC25" s="76"/>
      <c r="AD25" s="76"/>
    </row>
    <row r="26" spans="1:30" ht="24.6" customHeight="1" x14ac:dyDescent="0.25">
      <c r="A26" s="13"/>
      <c r="B26" s="44" t="s">
        <v>17</v>
      </c>
      <c r="C26" s="21"/>
      <c r="D26" s="14"/>
      <c r="E26" s="77"/>
      <c r="F26" s="78"/>
      <c r="G26" s="79"/>
      <c r="H26" s="51"/>
      <c r="I26" s="52"/>
      <c r="J26" s="53"/>
      <c r="K26" s="51"/>
      <c r="L26" s="52"/>
      <c r="M26" s="53"/>
      <c r="N26" s="51"/>
      <c r="O26" s="52"/>
      <c r="P26" s="53"/>
      <c r="Q26" s="51"/>
      <c r="R26" s="52"/>
      <c r="S26" s="53"/>
      <c r="T26" s="51"/>
      <c r="U26" s="52"/>
      <c r="V26" s="53"/>
      <c r="W26" s="15"/>
      <c r="X26" s="5"/>
      <c r="Y26" s="5"/>
      <c r="Z26" s="5"/>
    </row>
    <row r="27" spans="1:30" ht="24.6" customHeight="1" x14ac:dyDescent="0.25">
      <c r="A27" s="13"/>
      <c r="B27" s="67" t="s">
        <v>19</v>
      </c>
      <c r="C27" s="68"/>
      <c r="D27" s="14"/>
      <c r="E27" s="38"/>
      <c r="F27" s="38"/>
      <c r="G27" s="38"/>
      <c r="H27" s="38"/>
      <c r="I27" s="38"/>
      <c r="J27" s="38"/>
      <c r="K27" s="38"/>
      <c r="L27" s="38"/>
      <c r="M27" s="38"/>
      <c r="N27" s="38"/>
      <c r="O27" s="38"/>
      <c r="P27" s="38"/>
      <c r="Q27" s="38"/>
      <c r="R27" s="38"/>
      <c r="S27" s="38"/>
      <c r="T27" s="39"/>
      <c r="U27" s="40"/>
      <c r="V27" s="40"/>
      <c r="W27" s="15"/>
      <c r="X27" s="5"/>
      <c r="Y27" s="74" t="s">
        <v>42</v>
      </c>
      <c r="Z27" s="74"/>
      <c r="AA27" s="74"/>
      <c r="AB27" s="74"/>
      <c r="AC27" s="74"/>
      <c r="AD27" s="74"/>
    </row>
    <row r="28" spans="1:30" ht="24.6" customHeight="1" x14ac:dyDescent="0.25">
      <c r="A28" s="13"/>
      <c r="B28" s="69"/>
      <c r="C28" s="70"/>
      <c r="D28" s="14"/>
      <c r="E28" s="51"/>
      <c r="F28" s="52"/>
      <c r="G28" s="53"/>
      <c r="H28" s="51"/>
      <c r="I28" s="52"/>
      <c r="J28" s="53"/>
      <c r="K28" s="51"/>
      <c r="L28" s="52"/>
      <c r="M28" s="53"/>
      <c r="N28" s="51"/>
      <c r="O28" s="52"/>
      <c r="P28" s="53"/>
      <c r="Q28" s="51"/>
      <c r="R28" s="52"/>
      <c r="S28" s="53"/>
      <c r="T28" s="51"/>
      <c r="U28" s="52"/>
      <c r="V28" s="53"/>
      <c r="W28" s="15"/>
      <c r="X28" s="5"/>
      <c r="Y28" s="74" t="s">
        <v>32</v>
      </c>
      <c r="Z28" s="74"/>
      <c r="AA28" s="74"/>
      <c r="AB28" s="74"/>
      <c r="AC28" s="74"/>
      <c r="AD28" s="74"/>
    </row>
    <row r="29" spans="1:30" ht="24.6" customHeight="1" x14ac:dyDescent="0.25">
      <c r="A29" s="13"/>
      <c r="B29" s="19" t="s">
        <v>8</v>
      </c>
      <c r="C29" s="20"/>
      <c r="D29" s="17"/>
      <c r="E29" s="54" t="str">
        <f>IF(SUM(E18:E26,E28)&gt;0,SUM(E18:E26,E28),"")</f>
        <v/>
      </c>
      <c r="F29" s="55"/>
      <c r="G29" s="56"/>
      <c r="H29" s="54" t="str">
        <f>IF(SUM(H18:H26,H28)&gt;0,SUM(H18:H26,H28),"")</f>
        <v/>
      </c>
      <c r="I29" s="55"/>
      <c r="J29" s="56"/>
      <c r="K29" s="54" t="str">
        <f>IF(SUM(K18:K26,K28)&gt;0,SUM(K18:K26,K28),"")</f>
        <v/>
      </c>
      <c r="L29" s="55"/>
      <c r="M29" s="56"/>
      <c r="N29" s="54" t="str">
        <f>IF(SUM(N18:N26,N28)&gt;0,SUM(N18:N26,N28),"")</f>
        <v/>
      </c>
      <c r="O29" s="55"/>
      <c r="P29" s="56"/>
      <c r="Q29" s="54" t="str">
        <f>IF(SUM(Q18:Q26,Q28)&gt;0,SUM(Q18:Q26,Q28),"")</f>
        <v/>
      </c>
      <c r="R29" s="55"/>
      <c r="S29" s="56"/>
      <c r="T29" s="54" t="str">
        <f>IF(SUM(T18:T26,T28)&gt;0,SUM(T18:T26,T28),"")</f>
        <v/>
      </c>
      <c r="U29" s="55"/>
      <c r="V29" s="56"/>
      <c r="W29" s="15"/>
      <c r="X29" s="5"/>
      <c r="Y29" s="90"/>
      <c r="Z29" s="90"/>
      <c r="AA29" s="90"/>
      <c r="AB29" s="90"/>
      <c r="AC29" s="90"/>
      <c r="AD29" s="50"/>
    </row>
    <row r="30" spans="1:30" ht="24.6" customHeight="1" x14ac:dyDescent="0.25">
      <c r="A30" s="13"/>
      <c r="B30" s="19" t="s">
        <v>8</v>
      </c>
      <c r="C30" s="20"/>
      <c r="D30" s="17"/>
      <c r="E30" s="54" t="str">
        <f>E16</f>
        <v/>
      </c>
      <c r="F30" s="55"/>
      <c r="G30" s="56"/>
      <c r="H30" s="54" t="str">
        <f>H16</f>
        <v/>
      </c>
      <c r="I30" s="55"/>
      <c r="J30" s="56"/>
      <c r="K30" s="54" t="str">
        <f>K16</f>
        <v/>
      </c>
      <c r="L30" s="55"/>
      <c r="M30" s="56"/>
      <c r="N30" s="54" t="str">
        <f>N16</f>
        <v/>
      </c>
      <c r="O30" s="55"/>
      <c r="P30" s="56"/>
      <c r="Q30" s="54" t="str">
        <f>Q16</f>
        <v/>
      </c>
      <c r="R30" s="55"/>
      <c r="S30" s="56"/>
      <c r="T30" s="54" t="str">
        <f>T16</f>
        <v/>
      </c>
      <c r="U30" s="55"/>
      <c r="V30" s="56"/>
      <c r="W30" s="15"/>
      <c r="X30" s="5"/>
      <c r="Y30" s="89"/>
      <c r="Z30" s="89"/>
      <c r="AA30" s="89"/>
      <c r="AB30" s="89"/>
      <c r="AC30" s="89"/>
      <c r="AD30" s="89"/>
    </row>
    <row r="31" spans="1:30" ht="24.6" customHeight="1" x14ac:dyDescent="0.25">
      <c r="A31" s="13"/>
      <c r="B31" s="91" t="s">
        <v>18</v>
      </c>
      <c r="C31" s="92"/>
      <c r="D31" s="17"/>
      <c r="E31" s="54" t="str">
        <f>IF(SUM(E29:E30)&gt;0,SUM(E29:E30),"")</f>
        <v/>
      </c>
      <c r="F31" s="55"/>
      <c r="G31" s="56"/>
      <c r="H31" s="54" t="str">
        <f>IF(SUM(H29:H30)&gt;0,SUM(H29:H30),"")</f>
        <v/>
      </c>
      <c r="I31" s="55"/>
      <c r="J31" s="56"/>
      <c r="K31" s="54" t="str">
        <f>IF(SUM(K29:K30)&gt;0,SUM(K29:K30),"")</f>
        <v/>
      </c>
      <c r="L31" s="55"/>
      <c r="M31" s="56"/>
      <c r="N31" s="54" t="str">
        <f>IF(SUM(N29:N30)&gt;0,SUM(N29:N30),"")</f>
        <v/>
      </c>
      <c r="O31" s="55"/>
      <c r="P31" s="56"/>
      <c r="Q31" s="54" t="str">
        <f>IF(SUM(Q29:Q30)&gt;0,SUM(Q29:Q30),"")</f>
        <v/>
      </c>
      <c r="R31" s="55"/>
      <c r="S31" s="56"/>
      <c r="T31" s="54" t="str">
        <f>IF(SUM(T29:T30)&gt;0,SUM(T29:T30),"")</f>
        <v/>
      </c>
      <c r="U31" s="55"/>
      <c r="V31" s="56"/>
      <c r="W31" s="15"/>
      <c r="X31" s="5"/>
      <c r="Y31" s="89"/>
      <c r="Z31" s="89"/>
      <c r="AA31" s="89"/>
      <c r="AB31" s="89"/>
      <c r="AC31" s="89"/>
      <c r="AD31" s="89"/>
    </row>
    <row r="32" spans="1:30" ht="3.75" customHeight="1" x14ac:dyDescent="0.25">
      <c r="A32" s="22"/>
      <c r="B32" s="23"/>
      <c r="C32" s="24"/>
      <c r="D32" s="25"/>
      <c r="E32" s="57"/>
      <c r="F32" s="57"/>
      <c r="G32" s="57"/>
      <c r="H32" s="57"/>
      <c r="I32" s="57"/>
      <c r="J32" s="57"/>
      <c r="K32" s="57"/>
      <c r="L32" s="57"/>
      <c r="M32" s="57"/>
      <c r="N32" s="57"/>
      <c r="O32" s="57"/>
      <c r="P32" s="57"/>
      <c r="Q32" s="57"/>
      <c r="R32" s="57"/>
      <c r="S32" s="57"/>
      <c r="T32" s="57"/>
      <c r="U32" s="57"/>
      <c r="V32" s="57"/>
      <c r="W32" s="26"/>
      <c r="X32" s="5"/>
      <c r="Y32" s="89"/>
      <c r="Z32" s="89"/>
      <c r="AA32" s="89"/>
      <c r="AB32" s="89"/>
      <c r="AC32" s="89"/>
      <c r="AD32" s="89"/>
    </row>
    <row r="33" spans="1:30" x14ac:dyDescent="0.25">
      <c r="A33" s="5"/>
      <c r="B33" s="86" t="s">
        <v>40</v>
      </c>
      <c r="C33" s="87"/>
      <c r="D33" s="87"/>
      <c r="E33" s="87"/>
      <c r="F33" s="87"/>
      <c r="G33" s="87"/>
      <c r="H33" s="87"/>
      <c r="I33" s="87"/>
      <c r="J33" s="87"/>
      <c r="K33" s="87"/>
      <c r="L33" s="87"/>
      <c r="M33" s="87"/>
      <c r="N33" s="87"/>
      <c r="O33" s="87"/>
      <c r="P33" s="87"/>
      <c r="Q33" s="87"/>
      <c r="R33" s="87"/>
      <c r="S33" s="87"/>
      <c r="T33" s="88" t="s">
        <v>41</v>
      </c>
      <c r="U33" s="88"/>
      <c r="V33" s="88"/>
      <c r="W33" s="27"/>
      <c r="X33" s="5"/>
      <c r="Y33" s="89"/>
      <c r="Z33" s="89"/>
      <c r="AA33" s="89"/>
      <c r="AB33" s="89"/>
      <c r="AC33" s="89"/>
      <c r="AD33" s="89"/>
    </row>
    <row r="34" spans="1:30" ht="15.75" customHeight="1" x14ac:dyDescent="0.25">
      <c r="A34" s="5"/>
      <c r="B34" s="82"/>
      <c r="C34" s="82"/>
      <c r="D34" s="82"/>
      <c r="E34" s="82"/>
      <c r="F34" s="82"/>
      <c r="G34" s="82"/>
      <c r="H34" s="82"/>
      <c r="I34" s="82"/>
      <c r="J34" s="82"/>
      <c r="K34" s="82"/>
      <c r="L34" s="82"/>
      <c r="M34" s="83" t="s">
        <v>44</v>
      </c>
      <c r="N34" s="83"/>
      <c r="O34" s="83"/>
      <c r="P34" s="83"/>
      <c r="Q34" s="83"/>
      <c r="R34" s="83"/>
      <c r="S34" s="83"/>
      <c r="T34" s="81" t="s">
        <v>45</v>
      </c>
      <c r="U34" s="81"/>
      <c r="V34" s="81"/>
      <c r="W34" s="27"/>
      <c r="X34" s="5"/>
      <c r="Y34" s="84" t="str">
        <f>HYPERLINK("https://creativecommons.org/licenses/by-nc-sa/4.0/")</f>
        <v>https://creativecommons.org/licenses/by-nc-sa/4.0/</v>
      </c>
      <c r="Z34" s="85"/>
      <c r="AA34" s="85"/>
      <c r="AB34" s="85"/>
      <c r="AC34" s="85"/>
      <c r="AD34" s="85"/>
    </row>
    <row r="35" spans="1:30" x14ac:dyDescent="0.25">
      <c r="A35" s="5"/>
      <c r="B35" s="27"/>
      <c r="C35" s="7"/>
      <c r="D35" s="28"/>
      <c r="E35" s="27"/>
      <c r="F35" s="27"/>
      <c r="G35" s="27"/>
      <c r="H35" s="27"/>
      <c r="I35" s="27"/>
      <c r="J35" s="27"/>
      <c r="K35" s="27"/>
      <c r="L35" s="27"/>
      <c r="M35" s="27"/>
      <c r="N35" s="27"/>
      <c r="O35" s="27"/>
      <c r="P35" s="27"/>
      <c r="Q35" s="27"/>
      <c r="R35" s="27"/>
      <c r="S35" s="27"/>
      <c r="T35" s="27"/>
      <c r="U35" s="27"/>
      <c r="V35" s="27"/>
      <c r="W35" s="27"/>
      <c r="X35" s="5"/>
      <c r="Y35" s="5"/>
      <c r="Z35" s="5"/>
    </row>
    <row r="36" spans="1:30" x14ac:dyDescent="0.25">
      <c r="A36" s="5"/>
      <c r="B36" s="27"/>
      <c r="C36" s="7"/>
      <c r="D36" s="28"/>
      <c r="E36" s="27"/>
      <c r="F36" s="27"/>
      <c r="G36" s="27"/>
      <c r="H36" s="27"/>
      <c r="I36" s="27"/>
      <c r="J36" s="27"/>
      <c r="K36" s="27"/>
      <c r="L36" s="27"/>
      <c r="M36" s="27"/>
      <c r="N36" s="27"/>
      <c r="O36" s="27"/>
      <c r="P36" s="27"/>
      <c r="Q36" s="27"/>
      <c r="R36" s="27"/>
      <c r="S36" s="27"/>
      <c r="T36" s="27"/>
      <c r="U36" s="27"/>
      <c r="V36" s="27"/>
      <c r="W36" s="27"/>
      <c r="X36" s="5"/>
      <c r="Y36" s="5"/>
      <c r="Z36" s="5"/>
    </row>
    <row r="37" spans="1:30" x14ac:dyDescent="0.25">
      <c r="A37" s="5"/>
      <c r="B37" s="27"/>
      <c r="C37" s="7"/>
      <c r="D37" s="28"/>
      <c r="E37" s="27"/>
      <c r="F37" s="27"/>
      <c r="G37" s="27"/>
      <c r="H37" s="27"/>
      <c r="I37" s="27"/>
      <c r="J37" s="27"/>
      <c r="K37" s="27"/>
      <c r="L37" s="27"/>
      <c r="M37" s="27"/>
      <c r="N37" s="27"/>
      <c r="O37" s="27"/>
      <c r="P37" s="27"/>
      <c r="Q37" s="27"/>
      <c r="R37" s="27"/>
      <c r="S37" s="27"/>
      <c r="T37" s="27"/>
      <c r="U37" s="27"/>
      <c r="V37" s="27"/>
      <c r="W37" s="27"/>
      <c r="X37" s="5"/>
      <c r="Y37" s="5"/>
      <c r="Z37" s="5"/>
    </row>
    <row r="38" spans="1:30" x14ac:dyDescent="0.25">
      <c r="A38" s="5"/>
      <c r="B38" s="27"/>
      <c r="C38" s="7"/>
      <c r="D38" s="28"/>
      <c r="E38" s="27"/>
      <c r="F38" s="27"/>
      <c r="G38" s="27"/>
      <c r="H38" s="27"/>
      <c r="I38" s="27"/>
      <c r="J38" s="27"/>
      <c r="K38" s="27"/>
      <c r="L38" s="27"/>
      <c r="M38" s="27"/>
      <c r="N38" s="27"/>
      <c r="O38" s="27"/>
      <c r="P38" s="27"/>
      <c r="Q38" s="27"/>
      <c r="R38" s="27"/>
      <c r="S38" s="27"/>
      <c r="T38" s="27"/>
      <c r="U38" s="27"/>
      <c r="V38" s="27"/>
      <c r="W38" s="27"/>
      <c r="X38" s="5"/>
      <c r="Y38" s="5"/>
      <c r="Z38" s="5"/>
    </row>
    <row r="39" spans="1:30" x14ac:dyDescent="0.25">
      <c r="A39" s="5"/>
      <c r="B39" s="27"/>
      <c r="C39" s="7"/>
      <c r="D39" s="28"/>
      <c r="E39" s="27"/>
      <c r="F39" s="27"/>
      <c r="G39" s="27"/>
      <c r="H39" s="27"/>
      <c r="I39" s="27"/>
      <c r="J39" s="27"/>
      <c r="K39" s="27"/>
      <c r="L39" s="27"/>
      <c r="M39" s="27"/>
      <c r="N39" s="27"/>
      <c r="O39" s="27"/>
      <c r="P39" s="27"/>
      <c r="Q39" s="27"/>
      <c r="R39" s="27"/>
      <c r="S39" s="27"/>
      <c r="T39" s="27"/>
      <c r="U39" s="27"/>
      <c r="V39" s="27"/>
      <c r="W39" s="27"/>
      <c r="X39" s="5"/>
      <c r="Y39" s="5"/>
      <c r="Z39" s="5"/>
    </row>
    <row r="40" spans="1:30" x14ac:dyDescent="0.25">
      <c r="B40" s="29"/>
      <c r="C40" s="7"/>
      <c r="D40" s="28"/>
      <c r="E40" s="29"/>
      <c r="F40" s="29"/>
      <c r="G40" s="29"/>
      <c r="H40" s="29"/>
      <c r="I40" s="29"/>
      <c r="J40" s="29"/>
      <c r="K40" s="29"/>
      <c r="L40" s="29"/>
      <c r="M40" s="29"/>
      <c r="N40" s="29"/>
      <c r="O40" s="29"/>
      <c r="P40" s="29"/>
      <c r="Q40" s="29"/>
      <c r="R40" s="29"/>
      <c r="S40" s="29"/>
      <c r="T40" s="29"/>
      <c r="U40" s="29"/>
      <c r="V40" s="29"/>
      <c r="W40" s="29"/>
    </row>
    <row r="41" spans="1:30" x14ac:dyDescent="0.25">
      <c r="B41" s="29"/>
      <c r="C41" s="7"/>
      <c r="D41" s="28"/>
      <c r="E41" s="29"/>
      <c r="F41" s="29"/>
      <c r="G41" s="29"/>
      <c r="H41" s="29"/>
      <c r="I41" s="29"/>
      <c r="J41" s="29"/>
      <c r="K41" s="29"/>
      <c r="L41" s="29"/>
      <c r="M41" s="29"/>
      <c r="N41" s="29"/>
      <c r="O41" s="29"/>
      <c r="P41" s="29"/>
      <c r="Q41" s="29"/>
      <c r="R41" s="29"/>
      <c r="S41" s="29"/>
      <c r="T41" s="29"/>
      <c r="U41" s="29"/>
      <c r="V41" s="29"/>
      <c r="W41" s="29"/>
    </row>
    <row r="42" spans="1:30" x14ac:dyDescent="0.25">
      <c r="B42" s="29"/>
      <c r="C42" s="7"/>
      <c r="D42" s="28"/>
      <c r="E42" s="29"/>
      <c r="F42" s="29"/>
      <c r="G42" s="29"/>
      <c r="H42" s="29"/>
      <c r="I42" s="29"/>
      <c r="J42" s="29"/>
      <c r="K42" s="29"/>
      <c r="L42" s="29"/>
      <c r="M42" s="29"/>
      <c r="N42" s="29"/>
      <c r="O42" s="29"/>
      <c r="P42" s="29"/>
      <c r="Q42" s="29"/>
      <c r="R42" s="29"/>
      <c r="S42" s="29"/>
      <c r="T42" s="29"/>
      <c r="U42" s="29"/>
      <c r="V42" s="29"/>
      <c r="W42" s="29"/>
    </row>
    <row r="43" spans="1:30" x14ac:dyDescent="0.25">
      <c r="B43" s="29"/>
      <c r="C43" s="7"/>
      <c r="D43" s="28"/>
      <c r="E43" s="29"/>
      <c r="F43" s="29"/>
      <c r="G43" s="29"/>
      <c r="H43" s="29"/>
      <c r="I43" s="29"/>
      <c r="J43" s="29"/>
      <c r="K43" s="29"/>
      <c r="L43" s="29"/>
      <c r="M43" s="29"/>
      <c r="N43" s="29"/>
      <c r="O43" s="29"/>
      <c r="P43" s="29"/>
      <c r="Q43" s="29"/>
      <c r="R43" s="29"/>
      <c r="S43" s="29"/>
      <c r="T43" s="29"/>
      <c r="U43" s="29"/>
      <c r="V43" s="29"/>
      <c r="W43" s="29"/>
    </row>
    <row r="44" spans="1:30" x14ac:dyDescent="0.25">
      <c r="B44" s="29"/>
      <c r="C44" s="7"/>
      <c r="D44" s="28"/>
      <c r="E44" s="29"/>
      <c r="F44" s="29"/>
      <c r="G44" s="29"/>
      <c r="H44" s="29"/>
      <c r="I44" s="29"/>
      <c r="J44" s="29"/>
      <c r="K44" s="29"/>
      <c r="L44" s="29"/>
      <c r="M44" s="29"/>
      <c r="N44" s="29"/>
      <c r="O44" s="29"/>
      <c r="P44" s="29"/>
      <c r="Q44" s="29"/>
      <c r="R44" s="29"/>
      <c r="S44" s="29"/>
      <c r="T44" s="29"/>
      <c r="U44" s="29"/>
      <c r="V44" s="29"/>
      <c r="W44" s="29"/>
    </row>
    <row r="45" spans="1:30" x14ac:dyDescent="0.25">
      <c r="B45" s="29"/>
      <c r="C45" s="7"/>
      <c r="D45" s="28"/>
      <c r="E45" s="29"/>
      <c r="F45" s="29"/>
      <c r="G45" s="29"/>
      <c r="H45" s="29"/>
      <c r="I45" s="29"/>
      <c r="J45" s="29"/>
      <c r="K45" s="29"/>
      <c r="L45" s="29"/>
      <c r="M45" s="29"/>
      <c r="N45" s="29"/>
      <c r="O45" s="29"/>
      <c r="P45" s="29"/>
      <c r="Q45" s="29"/>
      <c r="R45" s="29"/>
      <c r="S45" s="29"/>
      <c r="T45" s="29"/>
      <c r="U45" s="29"/>
      <c r="V45" s="29"/>
      <c r="W45" s="29"/>
    </row>
    <row r="46" spans="1:30" x14ac:dyDescent="0.25">
      <c r="B46" s="29"/>
      <c r="C46" s="7"/>
      <c r="D46" s="28"/>
      <c r="E46" s="29"/>
      <c r="F46" s="29"/>
      <c r="G46" s="29"/>
      <c r="H46" s="29"/>
      <c r="I46" s="29"/>
      <c r="J46" s="29"/>
      <c r="K46" s="29"/>
      <c r="L46" s="29"/>
      <c r="M46" s="29"/>
      <c r="N46" s="29"/>
      <c r="O46" s="29"/>
      <c r="P46" s="29"/>
      <c r="Q46" s="29"/>
      <c r="R46" s="29"/>
      <c r="S46" s="29"/>
      <c r="T46" s="29"/>
      <c r="U46" s="29"/>
      <c r="V46" s="29"/>
      <c r="W46" s="29"/>
    </row>
    <row r="47" spans="1:30" x14ac:dyDescent="0.25">
      <c r="B47" s="29"/>
      <c r="C47" s="7"/>
      <c r="D47" s="28"/>
      <c r="E47" s="29"/>
      <c r="F47" s="29"/>
      <c r="G47" s="29"/>
      <c r="H47" s="29"/>
      <c r="I47" s="29"/>
      <c r="J47" s="29"/>
      <c r="K47" s="29"/>
      <c r="L47" s="29"/>
      <c r="M47" s="29"/>
      <c r="N47" s="29"/>
      <c r="O47" s="29"/>
      <c r="P47" s="29"/>
      <c r="Q47" s="29"/>
      <c r="R47" s="29"/>
      <c r="S47" s="29"/>
      <c r="T47" s="29"/>
      <c r="U47" s="29"/>
      <c r="V47" s="29"/>
      <c r="W47" s="29"/>
    </row>
    <row r="48" spans="1:30" x14ac:dyDescent="0.25">
      <c r="B48" s="29"/>
      <c r="C48" s="7"/>
      <c r="D48" s="28"/>
      <c r="E48" s="29"/>
      <c r="F48" s="29"/>
      <c r="G48" s="29"/>
      <c r="H48" s="29"/>
      <c r="I48" s="29"/>
      <c r="J48" s="29"/>
      <c r="K48" s="29"/>
      <c r="L48" s="29"/>
      <c r="M48" s="29"/>
      <c r="N48" s="29"/>
      <c r="O48" s="29"/>
      <c r="P48" s="29"/>
      <c r="Q48" s="29"/>
      <c r="R48" s="29"/>
      <c r="S48" s="29"/>
      <c r="T48" s="29"/>
      <c r="U48" s="29"/>
      <c r="V48" s="29"/>
      <c r="W48" s="29"/>
    </row>
    <row r="49" spans="2:23" x14ac:dyDescent="0.25">
      <c r="B49" s="29"/>
      <c r="C49" s="7"/>
      <c r="D49" s="28"/>
      <c r="E49" s="29"/>
      <c r="F49" s="29"/>
      <c r="G49" s="29"/>
      <c r="H49" s="29"/>
      <c r="I49" s="29"/>
      <c r="J49" s="29"/>
      <c r="K49" s="29"/>
      <c r="L49" s="29"/>
      <c r="M49" s="29"/>
      <c r="N49" s="29"/>
      <c r="O49" s="29"/>
      <c r="P49" s="29"/>
      <c r="Q49" s="29"/>
      <c r="R49" s="29"/>
      <c r="S49" s="29"/>
      <c r="T49" s="29"/>
      <c r="U49" s="29"/>
      <c r="V49" s="29"/>
      <c r="W49" s="29"/>
    </row>
    <row r="50" spans="2:23" x14ac:dyDescent="0.25">
      <c r="B50" s="29"/>
      <c r="C50" s="7"/>
      <c r="D50" s="28"/>
      <c r="E50" s="29"/>
      <c r="F50" s="29"/>
      <c r="G50" s="29"/>
      <c r="H50" s="29"/>
      <c r="I50" s="29"/>
      <c r="J50" s="29"/>
      <c r="K50" s="29"/>
      <c r="L50" s="29"/>
      <c r="M50" s="29"/>
      <c r="N50" s="29"/>
      <c r="O50" s="29"/>
      <c r="P50" s="29"/>
      <c r="Q50" s="29"/>
      <c r="R50" s="29"/>
      <c r="S50" s="29"/>
      <c r="T50" s="29"/>
      <c r="U50" s="29"/>
      <c r="V50" s="29"/>
      <c r="W50" s="29"/>
    </row>
    <row r="51" spans="2:23" x14ac:dyDescent="0.25">
      <c r="B51" s="29"/>
      <c r="C51" s="7"/>
      <c r="D51" s="28"/>
      <c r="E51" s="29"/>
      <c r="F51" s="29"/>
      <c r="G51" s="29"/>
      <c r="H51" s="29"/>
      <c r="I51" s="29"/>
      <c r="J51" s="29"/>
      <c r="K51" s="29"/>
      <c r="L51" s="29"/>
      <c r="M51" s="29"/>
      <c r="N51" s="29"/>
      <c r="O51" s="29"/>
      <c r="P51" s="29"/>
      <c r="Q51" s="29"/>
      <c r="R51" s="29"/>
      <c r="S51" s="29"/>
      <c r="T51" s="29"/>
      <c r="U51" s="29"/>
      <c r="V51" s="29"/>
      <c r="W51" s="29"/>
    </row>
    <row r="52" spans="2:23" x14ac:dyDescent="0.25">
      <c r="B52" s="29"/>
      <c r="C52" s="7"/>
      <c r="D52" s="28"/>
      <c r="E52" s="29"/>
      <c r="F52" s="29"/>
      <c r="G52" s="29"/>
      <c r="H52" s="29"/>
      <c r="I52" s="29"/>
      <c r="J52" s="29"/>
      <c r="K52" s="29"/>
      <c r="L52" s="29"/>
      <c r="M52" s="29"/>
      <c r="N52" s="29"/>
      <c r="O52" s="29"/>
      <c r="P52" s="29"/>
      <c r="Q52" s="29"/>
      <c r="R52" s="29"/>
      <c r="S52" s="29"/>
      <c r="T52" s="29"/>
      <c r="U52" s="29"/>
      <c r="V52" s="29"/>
      <c r="W52" s="29"/>
    </row>
    <row r="53" spans="2:23" x14ac:dyDescent="0.25">
      <c r="B53" s="29"/>
      <c r="C53" s="7"/>
      <c r="D53" s="28"/>
      <c r="E53" s="29"/>
      <c r="F53" s="29"/>
      <c r="G53" s="29"/>
      <c r="H53" s="29"/>
      <c r="I53" s="29"/>
      <c r="J53" s="29"/>
      <c r="K53" s="29"/>
      <c r="L53" s="29"/>
      <c r="M53" s="29"/>
      <c r="N53" s="29"/>
      <c r="O53" s="29"/>
      <c r="P53" s="29"/>
      <c r="Q53" s="29"/>
      <c r="R53" s="29"/>
      <c r="S53" s="29"/>
      <c r="T53" s="29"/>
      <c r="U53" s="29"/>
      <c r="V53" s="29"/>
      <c r="W53" s="29"/>
    </row>
    <row r="54" spans="2:23" x14ac:dyDescent="0.25">
      <c r="B54" s="29"/>
      <c r="C54" s="7"/>
      <c r="D54" s="28"/>
      <c r="E54" s="29"/>
      <c r="F54" s="29"/>
      <c r="G54" s="29"/>
      <c r="H54" s="29"/>
      <c r="I54" s="29"/>
      <c r="J54" s="29"/>
      <c r="K54" s="29"/>
      <c r="L54" s="29"/>
      <c r="M54" s="29"/>
      <c r="N54" s="29"/>
      <c r="O54" s="29"/>
      <c r="P54" s="29"/>
      <c r="Q54" s="29"/>
      <c r="R54" s="29"/>
      <c r="S54" s="29"/>
      <c r="T54" s="29"/>
      <c r="U54" s="29"/>
      <c r="V54" s="29"/>
      <c r="W54" s="29"/>
    </row>
    <row r="55" spans="2:23" x14ac:dyDescent="0.25">
      <c r="B55" s="29"/>
      <c r="C55" s="7"/>
      <c r="D55" s="28"/>
      <c r="E55" s="29"/>
      <c r="F55" s="29"/>
      <c r="G55" s="29"/>
      <c r="H55" s="29"/>
      <c r="I55" s="29"/>
      <c r="J55" s="29"/>
      <c r="K55" s="29"/>
      <c r="L55" s="29"/>
      <c r="M55" s="29"/>
      <c r="N55" s="29"/>
      <c r="O55" s="29"/>
      <c r="P55" s="29"/>
      <c r="Q55" s="29"/>
      <c r="R55" s="29"/>
      <c r="S55" s="29"/>
      <c r="T55" s="29"/>
      <c r="U55" s="29"/>
      <c r="V55" s="29"/>
      <c r="W55" s="29"/>
    </row>
    <row r="56" spans="2:23" x14ac:dyDescent="0.25">
      <c r="B56" s="29"/>
      <c r="C56" s="7"/>
      <c r="D56" s="28"/>
      <c r="E56" s="29"/>
      <c r="F56" s="29"/>
      <c r="G56" s="29"/>
      <c r="H56" s="29"/>
      <c r="I56" s="29"/>
      <c r="J56" s="29"/>
      <c r="K56" s="29"/>
      <c r="L56" s="29"/>
      <c r="M56" s="29"/>
      <c r="N56" s="29"/>
      <c r="O56" s="29"/>
      <c r="P56" s="29"/>
      <c r="Q56" s="29"/>
      <c r="R56" s="29"/>
      <c r="S56" s="29"/>
      <c r="T56" s="29"/>
      <c r="U56" s="29"/>
      <c r="V56" s="29"/>
      <c r="W56" s="29"/>
    </row>
    <row r="57" spans="2:23" x14ac:dyDescent="0.25">
      <c r="B57" s="29"/>
      <c r="C57" s="7"/>
      <c r="D57" s="28"/>
      <c r="E57" s="29"/>
      <c r="F57" s="29"/>
      <c r="G57" s="29"/>
      <c r="H57" s="29"/>
      <c r="I57" s="29"/>
      <c r="J57" s="29"/>
      <c r="K57" s="29"/>
      <c r="L57" s="29"/>
      <c r="M57" s="29"/>
      <c r="N57" s="29"/>
      <c r="O57" s="29"/>
      <c r="P57" s="29"/>
      <c r="Q57" s="29"/>
      <c r="R57" s="29"/>
      <c r="S57" s="29"/>
      <c r="T57" s="29"/>
      <c r="U57" s="29"/>
      <c r="V57" s="29"/>
      <c r="W57" s="29"/>
    </row>
    <row r="58" spans="2:23" x14ac:dyDescent="0.25">
      <c r="C58" s="30"/>
    </row>
  </sheetData>
  <sheetProtection algorithmName="SHA-512" hashValue="d68kRvh5S9eU4pU4DBNpcB3r9BCCZ5un8AD9IhPSKhEs1cxUUdK2SgRfN+KDuTPCSfG+qpxF2VQswQu2gGfpDA==" saltValue="AaE3WZQktCcfWtbubcDIvw==" spinCount="100000" sheet="1" objects="1" scenarios="1"/>
  <dataConsolidate/>
  <mergeCells count="192">
    <mergeCell ref="T34:V34"/>
    <mergeCell ref="B34:L34"/>
    <mergeCell ref="M34:S34"/>
    <mergeCell ref="Y34:AD34"/>
    <mergeCell ref="B33:S33"/>
    <mergeCell ref="T33:V33"/>
    <mergeCell ref="Y30:AD33"/>
    <mergeCell ref="Y29:AC29"/>
    <mergeCell ref="B31:C31"/>
    <mergeCell ref="E32:G32"/>
    <mergeCell ref="T30:V30"/>
    <mergeCell ref="T29:V29"/>
    <mergeCell ref="B14:C14"/>
    <mergeCell ref="H8:J8"/>
    <mergeCell ref="H9:J9"/>
    <mergeCell ref="H10:J10"/>
    <mergeCell ref="H11:J11"/>
    <mergeCell ref="H12:J12"/>
    <mergeCell ref="E26:G26"/>
    <mergeCell ref="H26:J26"/>
    <mergeCell ref="H25:J25"/>
    <mergeCell ref="H24:J24"/>
    <mergeCell ref="H23:J23"/>
    <mergeCell ref="H22:J22"/>
    <mergeCell ref="H16:J16"/>
    <mergeCell ref="E13:G13"/>
    <mergeCell ref="E14:G14"/>
    <mergeCell ref="D17:V17"/>
    <mergeCell ref="E15:G15"/>
    <mergeCell ref="E16:G16"/>
    <mergeCell ref="K26:M26"/>
    <mergeCell ref="N26:P26"/>
    <mergeCell ref="Q21:S21"/>
    <mergeCell ref="Q26:S26"/>
    <mergeCell ref="T26:V26"/>
    <mergeCell ref="T25:V25"/>
    <mergeCell ref="Y27:AD27"/>
    <mergeCell ref="Y28:AD28"/>
    <mergeCell ref="T32:V32"/>
    <mergeCell ref="Q32:S32"/>
    <mergeCell ref="N32:P32"/>
    <mergeCell ref="K32:M32"/>
    <mergeCell ref="H32:J32"/>
    <mergeCell ref="Z1:AD4"/>
    <mergeCell ref="Z5:AD5"/>
    <mergeCell ref="Z15:AD25"/>
    <mergeCell ref="K7:M7"/>
    <mergeCell ref="H3:J3"/>
    <mergeCell ref="K14:M14"/>
    <mergeCell ref="K15:M15"/>
    <mergeCell ref="K16:M16"/>
    <mergeCell ref="N7:P7"/>
    <mergeCell ref="Q7:S7"/>
    <mergeCell ref="T7:V7"/>
    <mergeCell ref="N10:P10"/>
    <mergeCell ref="N9:P9"/>
    <mergeCell ref="N8:P8"/>
    <mergeCell ref="T10:V10"/>
    <mergeCell ref="T9:V9"/>
    <mergeCell ref="T8:V8"/>
    <mergeCell ref="B7:C7"/>
    <mergeCell ref="B17:C17"/>
    <mergeCell ref="B27:C28"/>
    <mergeCell ref="E22:G22"/>
    <mergeCell ref="E23:G23"/>
    <mergeCell ref="E24:G24"/>
    <mergeCell ref="E25:G25"/>
    <mergeCell ref="H21:J21"/>
    <mergeCell ref="H20:J20"/>
    <mergeCell ref="H19:J19"/>
    <mergeCell ref="H18:J18"/>
    <mergeCell ref="E8:G8"/>
    <mergeCell ref="E9:G9"/>
    <mergeCell ref="E10:G10"/>
    <mergeCell ref="E11:G11"/>
    <mergeCell ref="E12:G12"/>
    <mergeCell ref="E18:G18"/>
    <mergeCell ref="E19:G19"/>
    <mergeCell ref="E20:G20"/>
    <mergeCell ref="E21:G21"/>
    <mergeCell ref="E7:G7"/>
    <mergeCell ref="H7:J7"/>
    <mergeCell ref="H14:J14"/>
    <mergeCell ref="H15:J15"/>
    <mergeCell ref="K8:M8"/>
    <mergeCell ref="K9:M9"/>
    <mergeCell ref="K10:M10"/>
    <mergeCell ref="K11:M11"/>
    <mergeCell ref="K12:M12"/>
    <mergeCell ref="K13:M13"/>
    <mergeCell ref="H6:J6"/>
    <mergeCell ref="H5:J5"/>
    <mergeCell ref="H4:J4"/>
    <mergeCell ref="H13:J13"/>
    <mergeCell ref="H2:J2"/>
    <mergeCell ref="H1:J1"/>
    <mergeCell ref="K1:M1"/>
    <mergeCell ref="K2:M2"/>
    <mergeCell ref="K5:M5"/>
    <mergeCell ref="K6:M6"/>
    <mergeCell ref="E1:G1"/>
    <mergeCell ref="E2:G2"/>
    <mergeCell ref="E3:G3"/>
    <mergeCell ref="E4:G4"/>
    <mergeCell ref="E5:G5"/>
    <mergeCell ref="E6:G6"/>
    <mergeCell ref="K3:V4"/>
    <mergeCell ref="N2:P2"/>
    <mergeCell ref="N1:P1"/>
    <mergeCell ref="Q1:S1"/>
    <mergeCell ref="Q2:S2"/>
    <mergeCell ref="T2:V2"/>
    <mergeCell ref="T1:V1"/>
    <mergeCell ref="N6:P6"/>
    <mergeCell ref="Q6:S6"/>
    <mergeCell ref="T6:V6"/>
    <mergeCell ref="T5:V5"/>
    <mergeCell ref="Q5:S5"/>
    <mergeCell ref="N5:P5"/>
    <mergeCell ref="Q14:S14"/>
    <mergeCell ref="Q15:S15"/>
    <mergeCell ref="Q16:S16"/>
    <mergeCell ref="T16:V16"/>
    <mergeCell ref="T15:V15"/>
    <mergeCell ref="T14:V14"/>
    <mergeCell ref="Q8:S8"/>
    <mergeCell ref="Q9:S9"/>
    <mergeCell ref="Q10:S10"/>
    <mergeCell ref="Q11:S11"/>
    <mergeCell ref="Q12:S12"/>
    <mergeCell ref="Q13:S13"/>
    <mergeCell ref="N16:P16"/>
    <mergeCell ref="N15:P15"/>
    <mergeCell ref="N14:P14"/>
    <mergeCell ref="T13:V13"/>
    <mergeCell ref="T12:V12"/>
    <mergeCell ref="T11:V11"/>
    <mergeCell ref="N13:P13"/>
    <mergeCell ref="N12:P12"/>
    <mergeCell ref="N11:P11"/>
    <mergeCell ref="T28:V28"/>
    <mergeCell ref="Q28:S28"/>
    <mergeCell ref="Q29:S29"/>
    <mergeCell ref="Q30:S30"/>
    <mergeCell ref="E31:G31"/>
    <mergeCell ref="H31:J31"/>
    <mergeCell ref="K31:M31"/>
    <mergeCell ref="N31:P31"/>
    <mergeCell ref="Q31:S31"/>
    <mergeCell ref="T31:V31"/>
    <mergeCell ref="N28:P28"/>
    <mergeCell ref="K28:M28"/>
    <mergeCell ref="H28:J28"/>
    <mergeCell ref="E28:G28"/>
    <mergeCell ref="N30:P30"/>
    <mergeCell ref="K30:M30"/>
    <mergeCell ref="H30:J30"/>
    <mergeCell ref="E30:G30"/>
    <mergeCell ref="E29:G29"/>
    <mergeCell ref="H29:J29"/>
    <mergeCell ref="K29:M29"/>
    <mergeCell ref="N29:P29"/>
    <mergeCell ref="T24:V24"/>
    <mergeCell ref="T23:V23"/>
    <mergeCell ref="T22:V22"/>
    <mergeCell ref="Q22:S22"/>
    <mergeCell ref="Q23:S23"/>
    <mergeCell ref="Q24:S24"/>
    <mergeCell ref="Q25:S25"/>
    <mergeCell ref="T21:V21"/>
    <mergeCell ref="K21:M21"/>
    <mergeCell ref="N25:P25"/>
    <mergeCell ref="N24:P24"/>
    <mergeCell ref="N23:P23"/>
    <mergeCell ref="N22:P22"/>
    <mergeCell ref="N21:P21"/>
    <mergeCell ref="N20:P20"/>
    <mergeCell ref="K22:M22"/>
    <mergeCell ref="K23:M23"/>
    <mergeCell ref="K24:M24"/>
    <mergeCell ref="K25:M25"/>
    <mergeCell ref="T20:V20"/>
    <mergeCell ref="T19:V19"/>
    <mergeCell ref="T18:V18"/>
    <mergeCell ref="Q18:S18"/>
    <mergeCell ref="Q19:S19"/>
    <mergeCell ref="Q20:S20"/>
    <mergeCell ref="N18:P18"/>
    <mergeCell ref="K18:M18"/>
    <mergeCell ref="K19:M19"/>
    <mergeCell ref="K20:M20"/>
    <mergeCell ref="N19:P19"/>
  </mergeCells>
  <dataValidations count="14">
    <dataValidation type="list" allowBlank="1" showInputMessage="1" showErrorMessage="1" errorTitle="Invalid input" error="Values must one of the following:_x000a_0,1,2,3,4,5,6" sqref="E8:V8">
      <formula1>$X$8:$AD$8</formula1>
    </dataValidation>
    <dataValidation type="list" allowBlank="1" showInputMessage="1" showErrorMessage="1" errorTitle="Invalid input" error="Values must be one of the following:_x000a_0,2,4,6,8,10,12" sqref="E9:V9">
      <formula1>$X$9:$AD$9</formula1>
    </dataValidation>
    <dataValidation type="list" allowBlank="1" showInputMessage="1" showErrorMessage="1" errorTitle="Invalid input" error="Values must be one of the following:_x000a_0,3,6,9,12,15,18" sqref="E10:V10">
      <formula1>$X$10:$AD$10</formula1>
    </dataValidation>
    <dataValidation type="list" allowBlank="1" showInputMessage="1" showErrorMessage="1" errorTitle="Invalid input" error="Values must one of the following:_x000a_0,4,8,12,16,20,24" sqref="E11:V11">
      <formula1>$X$11:$AD$11</formula1>
    </dataValidation>
    <dataValidation type="list" allowBlank="1" showInputMessage="1" showErrorMessage="1" errorTitle="Invalid input" error="Values must be one of the following:_x000a_0,5,10,15,20,25,30" sqref="E12:V12">
      <formula1>$X$12:$AD$12</formula1>
    </dataValidation>
    <dataValidation type="list" allowBlank="1" showInputMessage="1" showErrorMessage="1" errorTitle="Invalid input" error="Values must be one of the following:_x000a_0,6,12,18,24,30,36" sqref="E13:V13">
      <formula1>$X$13:$AD$13</formula1>
    </dataValidation>
    <dataValidation type="custom" allowBlank="1" showInputMessage="1" showErrorMessage="1" errorTitle="Invalid input" error="Value must be 0 or 25!" sqref="E20:V20">
      <formula1>IF(OR(E20=25,E20=0),TRUE,FALSE)</formula1>
    </dataValidation>
    <dataValidation type="custom" allowBlank="1" showInputMessage="1" showErrorMessage="1" errorTitle="Invalid input" error="Value must be 0 or 35!" sqref="E21:V21">
      <formula1>IF(OR(E21=35,E21=0),TRUE,FALSE)</formula1>
    </dataValidation>
    <dataValidation type="custom" allowBlank="1" showInputMessage="1" showErrorMessage="1" errorTitle="Invalid input" error="Value must be 0 or 30!" sqref="E22:V22">
      <formula1>IF(OR(E22=30,E22=0),TRUE,FALSE)</formula1>
    </dataValidation>
    <dataValidation type="custom" allowBlank="1" showInputMessage="1" showErrorMessage="1" errorTitle="Invalid input" error="Value must be 0 or 40!" sqref="E23:V23">
      <formula1>IF(OR(E23=40,E23=0),TRUE,FALSE)</formula1>
    </dataValidation>
    <dataValidation type="custom" allowBlank="1" showInputMessage="1" showErrorMessage="1" errorTitle="Invalid input" error="Value must be 0 or 50!" sqref="E24:V24">
      <formula1>IF(OR(E24=50,E24=0),TRUE,FALSE)</formula1>
    </dataValidation>
    <dataValidation type="custom" allowBlank="1" showInputMessage="1" showErrorMessage="1" errorTitle="Invalid input" error="Value must be 0 or 75!" sqref="E25:V25">
      <formula1>IF(OR(E25=75,E25=0),TRUE,FALSE)</formula1>
    </dataValidation>
    <dataValidation type="custom" allowBlank="1" showInputMessage="1" showErrorMessage="1" errorTitle="Invalid input" error="Values must be 0 or between 6 and 36!" sqref="E18:V19">
      <formula1>IF(OR(E18=0,AND(E18&gt;=6,E18&lt;=36)),TRUE,FALSE)</formula1>
    </dataValidation>
    <dataValidation type="whole" allowBlank="1" showInputMessage="1" showErrorMessage="1" errorTitle="Invalid input" error="Value must be between 6 and 36!" sqref="E26:V26">
      <formula1>6</formula1>
      <formula2>36</formula2>
    </dataValidation>
  </dataValidations>
  <printOptions horizontalCentered="1" verticalCentered="1"/>
  <pageMargins left="0.25" right="0.25" top="0.25" bottom="0.25" header="0" footer="0"/>
  <pageSetup fitToWidth="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_Clear_Scorecard">
              <controlPr defaultSize="0" print="0" autoFill="0" autoPict="0" macro="[0]!Button_Clear_Scorecard_Click">
                <anchor moveWithCells="1">
                  <from>
                    <xdr:col>23</xdr:col>
                    <xdr:colOff>104775</xdr:colOff>
                    <xdr:row>2</xdr:row>
                    <xdr:rowOff>57150</xdr:rowOff>
                  </from>
                  <to>
                    <xdr:col>24</xdr:col>
                    <xdr:colOff>514350</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SuperYahtzee</vt:lpstr>
      <vt:lpstr>Lower_Section</vt:lpstr>
      <vt:lpstr>SuperYahtzee!Print_Area</vt:lpstr>
      <vt:lpstr>Upper_Section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cp:lastModifiedBy>
  <cp:lastPrinted>2020-07-28T06:37:33Z</cp:lastPrinted>
  <dcterms:created xsi:type="dcterms:W3CDTF">2020-06-28T07:00:47Z</dcterms:created>
  <dcterms:modified xsi:type="dcterms:W3CDTF">2020-07-28T06:39:15Z</dcterms:modified>
</cp:coreProperties>
</file>